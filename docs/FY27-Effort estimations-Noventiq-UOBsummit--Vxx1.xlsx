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defaultThemeVersion="124226"/>
  <mc:AlternateContent xmlns:mc="http://schemas.openxmlformats.org/markup-compatibility/2006">
    <mc:Choice Requires="x15">
      <x15ac:absPath xmlns:x15ac="http://schemas.microsoft.com/office/spreadsheetml/2010/11/ac" url="https://softlineholdingplc-my.sharepoint.com/personal/sarwen_kumar_noventiq_com/Documents/Desktop/UOB/"/>
    </mc:Choice>
  </mc:AlternateContent>
  <xr:revisionPtr revIDLastSave="0" documentId="8_{6338F1C3-B5C4-4C37-B556-91BD95FB06AC}" xr6:coauthVersionLast="47" xr6:coauthVersionMax="47" xr10:uidLastSave="{00000000-0000-0000-0000-000000000000}"/>
  <bookViews>
    <workbookView xWindow="28665" yWindow="-135" windowWidth="29070" windowHeight="15750" tabRatio="717" firstSheet="4" activeTab="4" xr2:uid="{00000000-000D-0000-FFFF-FFFF00000000}"/>
  </bookViews>
  <sheets>
    <sheet name="!FAQ" sheetId="26" r:id="rId1"/>
    <sheet name="2a.Travel calc" sheetId="20" state="hidden" r:id="rId2"/>
    <sheet name="PM-PA catalog" sheetId="15" state="hidden" r:id="rId3"/>
    <sheet name="Project overview" sheetId="30" r:id="rId4"/>
    <sheet name="Project estimations_adv" sheetId="27" r:id="rId5"/>
    <sheet name="Resources overview" sheetId="37" r:id="rId6"/>
    <sheet name="Reference data" sheetId="28" r:id="rId7"/>
    <sheet name="reference" sheetId="6" state="hidden" r:id="rId8"/>
  </sheets>
  <definedNames>
    <definedName name="Argentina">'Reference data'!$D$61:$D$61</definedName>
    <definedName name="Brazil">'Reference data'!$D$62:$D$63</definedName>
    <definedName name="Bulgaria">'Reference data'!$D$64:$D$66</definedName>
    <definedName name="Cambodia">'Reference data'!$D$67:$D$71</definedName>
    <definedName name="Chile">'Reference data'!$D$72:$D$73</definedName>
    <definedName name="Colombia">'Reference data'!$D$74:$D$76</definedName>
    <definedName name="Costa_Rica">'Reference data'!$D$77:$D$78</definedName>
    <definedName name="Customer">'Reference data'!$D$79</definedName>
    <definedName name="Hungary">'Reference data'!$D$80:$D$80</definedName>
    <definedName name="India">'Reference data'!$D$81:$D$87</definedName>
    <definedName name="Latvia">'Reference data'!$D$88:$D$91</definedName>
    <definedName name="Lithuania">'Reference data'!$D$92:$D$95</definedName>
    <definedName name="Malaysia">'Reference data'!$D$96:$D$102</definedName>
    <definedName name="Myanmar">'Reference data'!#REF!</definedName>
    <definedName name="Performer_Country">'Reference data'!$D$4:$D$21</definedName>
    <definedName name="Peru">'Reference data'!$D$103:$D$104</definedName>
    <definedName name="Philippines">'Reference data'!$D$105:$D$108</definedName>
    <definedName name="Thailand">'Reference data'!$D$109:$D$109</definedName>
    <definedName name="Vietnam">'Reference data'!$D$110:$D$115</definedName>
  </definedNames>
  <calcPr calcId="191028"/>
  <pivotCaches>
    <pivotCache cacheId="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7" l="1"/>
  <c r="I11" i="27" s="1"/>
  <c r="J11" i="27" s="1"/>
  <c r="K11" i="27"/>
  <c r="G12" i="27"/>
  <c r="I12" i="27" s="1"/>
  <c r="J12" i="27" s="1"/>
  <c r="K12" i="27"/>
  <c r="G13" i="27"/>
  <c r="I13" i="27" s="1"/>
  <c r="J13" i="27" s="1"/>
  <c r="K13" i="27"/>
  <c r="G14" i="27"/>
  <c r="I14" i="27" s="1"/>
  <c r="J14" i="27" s="1"/>
  <c r="K14" i="27"/>
  <c r="G15" i="27"/>
  <c r="I15" i="27" s="1"/>
  <c r="J15" i="27" s="1"/>
  <c r="K15" i="27"/>
  <c r="G16" i="27"/>
  <c r="I16" i="27" s="1"/>
  <c r="J16" i="27" s="1"/>
  <c r="K16" i="27"/>
  <c r="G17" i="27"/>
  <c r="I17" i="27" s="1"/>
  <c r="J17" i="27" s="1"/>
  <c r="K17" i="27"/>
  <c r="G18" i="27"/>
  <c r="I18" i="27" s="1"/>
  <c r="J18" i="27" s="1"/>
  <c r="K18" i="27"/>
  <c r="B100" i="28"/>
  <c r="B98" i="28"/>
  <c r="B75" i="28" l="1"/>
  <c r="B107" i="28"/>
  <c r="B69" i="28"/>
  <c r="B68" i="28"/>
  <c r="B106" i="28"/>
  <c r="J36" i="27"/>
  <c r="J35" i="27"/>
  <c r="J34" i="27"/>
  <c r="J44" i="27"/>
  <c r="J45" i="27"/>
  <c r="J43" i="27"/>
  <c r="B88" i="28"/>
  <c r="B89" i="28"/>
  <c r="B90" i="28"/>
  <c r="B91" i="28"/>
  <c r="B92" i="28"/>
  <c r="B93" i="28"/>
  <c r="B94" i="28"/>
  <c r="B95" i="28"/>
  <c r="B83" i="28" l="1"/>
  <c r="B85" i="28"/>
  <c r="B112" i="28" l="1"/>
  <c r="B108" i="28"/>
  <c r="B99" i="28"/>
  <c r="B70" i="28"/>
  <c r="B65" i="28" l="1"/>
  <c r="B74" i="28" l="1"/>
  <c r="B76" i="28"/>
  <c r="B101" i="28" l="1"/>
  <c r="B110" i="28"/>
  <c r="B97" i="28"/>
  <c r="K19" i="27" l="1"/>
  <c r="J2" i="27"/>
  <c r="K20" i="27"/>
  <c r="J47" i="27" l="1"/>
  <c r="J38" i="27"/>
  <c r="B79" i="28" l="1"/>
  <c r="A4" i="37" l="1"/>
  <c r="A3" i="37"/>
  <c r="K5" i="27" l="1"/>
  <c r="K6" i="27"/>
  <c r="K7" i="27"/>
  <c r="K8" i="27"/>
  <c r="K9" i="27"/>
  <c r="K10" i="27"/>
  <c r="I47" i="27" l="1"/>
  <c r="C35" i="30" s="1"/>
  <c r="I38" i="27"/>
  <c r="C34" i="30" s="1"/>
  <c r="B61" i="28" l="1"/>
  <c r="B62" i="28"/>
  <c r="B63" i="28"/>
  <c r="B64" i="28"/>
  <c r="B66" i="28"/>
  <c r="B67" i="28"/>
  <c r="B71" i="28"/>
  <c r="B72" i="28"/>
  <c r="B73" i="28"/>
  <c r="B77" i="28"/>
  <c r="B78" i="28"/>
  <c r="B80" i="28"/>
  <c r="B81" i="28"/>
  <c r="B82" i="28"/>
  <c r="B84" i="28"/>
  <c r="B86" i="28"/>
  <c r="B87" i="28"/>
  <c r="B96" i="28"/>
  <c r="B102" i="28"/>
  <c r="B103" i="28"/>
  <c r="B104" i="28"/>
  <c r="B105" i="28"/>
  <c r="B109" i="28"/>
  <c r="B111" i="28"/>
  <c r="B113" i="28"/>
  <c r="B114" i="28"/>
  <c r="B115" i="28"/>
  <c r="G54" i="27" l="1"/>
  <c r="L54" i="27" s="1"/>
  <c r="G27" i="27"/>
  <c r="G19" i="27"/>
  <c r="I19" i="27" s="1"/>
  <c r="J19" i="27" s="1"/>
  <c r="G20" i="27"/>
  <c r="I20" i="27" s="1"/>
  <c r="J20" i="27" s="1"/>
  <c r="G10" i="27"/>
  <c r="I10" i="27" s="1"/>
  <c r="J10" i="27" s="1"/>
  <c r="G9" i="27"/>
  <c r="I9" i="27" s="1"/>
  <c r="J9" i="27" s="1"/>
  <c r="G8" i="27"/>
  <c r="I8" i="27" s="1"/>
  <c r="J8" i="27" s="1"/>
  <c r="G7" i="27"/>
  <c r="I7" i="27" s="1"/>
  <c r="J7" i="27" s="1"/>
  <c r="G6" i="27"/>
  <c r="I6" i="27" s="1"/>
  <c r="J6" i="27" s="1"/>
  <c r="G5" i="27"/>
  <c r="I5" i="27" s="1"/>
  <c r="J5" i="27" s="1"/>
  <c r="J21" i="27" l="1"/>
  <c r="L27" i="27"/>
  <c r="C34" i="15"/>
  <c r="C37" i="15" l="1"/>
  <c r="C38" i="15"/>
  <c r="C36" i="15"/>
  <c r="C23" i="15" l="1"/>
  <c r="C24" i="15"/>
  <c r="C25" i="15"/>
  <c r="C26" i="15"/>
  <c r="D34" i="15" l="1"/>
  <c r="D6" i="15"/>
  <c r="D7" i="15"/>
  <c r="D8" i="15"/>
  <c r="D9" i="15"/>
  <c r="D10" i="15"/>
  <c r="D13" i="20" l="1"/>
  <c r="C3" i="20" l="1"/>
  <c r="C2" i="20"/>
  <c r="D14" i="20" l="1"/>
  <c r="D54" i="15" l="1"/>
  <c r="D53" i="15"/>
  <c r="D52" i="15"/>
  <c r="D51" i="15"/>
  <c r="D50" i="15"/>
  <c r="D48" i="15"/>
  <c r="D47" i="15"/>
  <c r="D45" i="15"/>
  <c r="D44" i="15"/>
  <c r="D42" i="15"/>
  <c r="D41" i="15"/>
  <c r="D39" i="15"/>
  <c r="D38" i="15"/>
  <c r="D37" i="15"/>
  <c r="D36" i="15"/>
  <c r="D26" i="15"/>
  <c r="D25" i="15"/>
  <c r="D24" i="15"/>
  <c r="D23" i="15"/>
  <c r="D21" i="15"/>
  <c r="D20" i="15"/>
  <c r="D19" i="15"/>
  <c r="D18" i="15"/>
  <c r="D17" i="15"/>
  <c r="D15" i="15"/>
  <c r="D14" i="15"/>
  <c r="D13" i="15"/>
  <c r="D12" i="15"/>
  <c r="D5" i="15"/>
  <c r="D12" i="20"/>
  <c r="D20" i="20" s="1"/>
  <c r="C40" i="15" l="1"/>
  <c r="D40" i="15" s="1"/>
  <c r="C33" i="15" l="1"/>
  <c r="C31" i="15"/>
  <c r="C29" i="15" l="1"/>
  <c r="C32" i="15"/>
  <c r="C28" i="15"/>
  <c r="C30" i="15"/>
  <c r="D33" i="15" l="1"/>
  <c r="D29" i="15"/>
  <c r="D30" i="15"/>
  <c r="D28" i="15"/>
  <c r="D32" i="15"/>
  <c r="D31" i="15"/>
  <c r="D55" i="15" l="1"/>
  <c r="I21" i="27" l="1"/>
  <c r="H21" i="27"/>
  <c r="H27" i="27" l="1"/>
  <c r="I24" i="27"/>
  <c r="J24" i="27" s="1"/>
  <c r="H54" i="27" l="1"/>
  <c r="I54" i="27" s="1"/>
  <c r="I27" i="27"/>
  <c r="B3" i="37"/>
  <c r="J54" i="27" l="1"/>
  <c r="J56" i="27" s="1"/>
  <c r="I29" i="27"/>
  <c r="I51" i="27" s="1"/>
  <c r="J27" i="27"/>
  <c r="J29" i="27" s="1"/>
  <c r="J51" i="27" s="1"/>
  <c r="C3" i="37"/>
  <c r="C4" i="37"/>
  <c r="B4" i="37"/>
  <c r="B5" i="37" s="1"/>
  <c r="I56" i="27"/>
  <c r="C36" i="30" s="1"/>
  <c r="C33" i="30" l="1"/>
  <c r="C40" i="30" s="1"/>
  <c r="C5" i="37"/>
  <c r="C45" i="30" l="1"/>
  <c r="C44" i="30" s="1"/>
  <c r="C48" i="30" l="1"/>
  <c r="C51" i="30" s="1"/>
</calcChain>
</file>

<file path=xl/sharedStrings.xml><?xml version="1.0" encoding="utf-8"?>
<sst xmlns="http://schemas.openxmlformats.org/spreadsheetml/2006/main" count="623" uniqueCount="378">
  <si>
    <r>
      <t xml:space="preserve">Q: What is the purpose of this file and how I should use it? </t>
    </r>
    <r>
      <rPr>
        <b/>
        <i/>
        <sz val="12"/>
        <color rgb="FFFF0000"/>
        <rFont val="Calibri"/>
        <family val="2"/>
        <charset val="204"/>
        <scheme val="minor"/>
      </rPr>
      <t>(please, read me first!)</t>
    </r>
  </si>
  <si>
    <r>
      <rPr>
        <b/>
        <sz val="11"/>
        <color theme="1"/>
        <rFont val="Calibri"/>
        <family val="2"/>
        <charset val="204"/>
        <scheme val="minor"/>
      </rPr>
      <t xml:space="preserve">A: </t>
    </r>
    <r>
      <rPr>
        <sz val="11"/>
        <color theme="1"/>
        <rFont val="Calibri"/>
        <family val="2"/>
        <charset val="204"/>
        <scheme val="minor"/>
      </rPr>
      <t>This is a template to help you estimate delivery expenses and project cost for services projects. File contains all important variables to account necessary cost items into project cost.</t>
    </r>
    <r>
      <rPr>
        <b/>
        <sz val="11"/>
        <color theme="1"/>
        <rFont val="Calibri"/>
        <family val="2"/>
        <charset val="204"/>
        <scheme val="minor"/>
      </rPr>
      <t xml:space="preserve">
</t>
    </r>
    <r>
      <rPr>
        <sz val="11"/>
        <color theme="1"/>
        <rFont val="Calibri"/>
        <family val="2"/>
        <scheme val="minor"/>
      </rPr>
      <t xml:space="preserve">File contains three sheets to gradually lead you through project cost estimation.
1. Start from </t>
    </r>
    <r>
      <rPr>
        <u/>
        <sz val="11"/>
        <color theme="1"/>
        <rFont val="Calibri"/>
        <family val="2"/>
        <charset val="204"/>
        <scheme val="minor"/>
      </rPr>
      <t>"Project overview"</t>
    </r>
    <r>
      <rPr>
        <sz val="11"/>
        <color theme="1"/>
        <rFont val="Calibri"/>
        <family val="2"/>
        <scheme val="minor"/>
      </rPr>
      <t xml:space="preserve"> sheet to fill details about customer, project, requirements and pre-sale team. 
2. Once done, move forward with effort estimations on sheet </t>
    </r>
    <r>
      <rPr>
        <u/>
        <sz val="11"/>
        <color theme="1"/>
        <rFont val="Calibri"/>
        <family val="2"/>
        <charset val="204"/>
        <scheme val="minor"/>
      </rPr>
      <t>"Project estimations_adv"</t>
    </r>
    <r>
      <rPr>
        <sz val="11"/>
        <color theme="1"/>
        <rFont val="Calibri"/>
        <family val="2"/>
        <scheme val="minor"/>
      </rPr>
      <t xml:space="preserve">. Specify scope of work, select proper resources, estimate tasks by man manhours and risks, select required percentage of architect and project manager involvement, put partner cost if necessary. If you need to overview the resources total man hours and cost by roles you may switch to the </t>
    </r>
    <r>
      <rPr>
        <u/>
        <sz val="11"/>
        <color theme="1"/>
        <rFont val="Calibri"/>
        <family val="2"/>
        <charset val="204"/>
        <scheme val="minor"/>
      </rPr>
      <t>"Resources overview"</t>
    </r>
    <r>
      <rPr>
        <sz val="11"/>
        <color theme="1"/>
        <rFont val="Calibri"/>
        <family val="2"/>
        <scheme val="minor"/>
      </rPr>
      <t xml:space="preserve"> sheet.
3. Once you complete estimations, go back to the sheet </t>
    </r>
    <r>
      <rPr>
        <u/>
        <sz val="11"/>
        <color theme="1"/>
        <rFont val="Calibri"/>
        <family val="2"/>
        <charset val="204"/>
        <scheme val="minor"/>
      </rPr>
      <t>"Project overview"</t>
    </r>
    <r>
      <rPr>
        <sz val="11"/>
        <color theme="1"/>
        <rFont val="Calibri"/>
        <family val="2"/>
        <charset val="204"/>
        <scheme val="minor"/>
      </rPr>
      <t xml:space="preserve"> </t>
    </r>
    <r>
      <rPr>
        <sz val="11"/>
        <color theme="1"/>
        <rFont val="Calibri"/>
        <family val="2"/>
        <scheme val="minor"/>
      </rPr>
      <t>to finalize the key project parameters: project scope and timeline, additional expenses. Check project budget, commercials, choose required margin level and review recommended project price.
All sheets in the file are designed with the same colour approach:</t>
    </r>
  </si>
  <si>
    <t>Fields where you input is required are pink colored;</t>
  </si>
  <si>
    <t>Fields where values are automatically calculated have grey color. Please do not make any changes in these fields.</t>
  </si>
  <si>
    <r>
      <rPr>
        <b/>
        <i/>
        <sz val="12"/>
        <color theme="1"/>
        <rFont val="Calibri"/>
        <family val="2"/>
        <charset val="204"/>
        <scheme val="minor"/>
      </rPr>
      <t xml:space="preserve">Q: </t>
    </r>
    <r>
      <rPr>
        <i/>
        <sz val="12"/>
        <color theme="1"/>
        <rFont val="Calibri"/>
        <family val="2"/>
        <charset val="204"/>
        <scheme val="minor"/>
      </rPr>
      <t>How should I estimate project duration?</t>
    </r>
  </si>
  <si>
    <r>
      <rPr>
        <b/>
        <sz val="11"/>
        <color theme="1"/>
        <rFont val="Calibri"/>
        <family val="2"/>
        <charset val="204"/>
        <scheme val="minor"/>
      </rPr>
      <t xml:space="preserve">A: </t>
    </r>
    <r>
      <rPr>
        <sz val="11"/>
        <color theme="1"/>
        <rFont val="Calibri"/>
        <family val="2"/>
        <scheme val="minor"/>
      </rPr>
      <t>To estimate project duration definition of the project scope is required: you need to understand which tasks or stages will be performed one by one, and which can be done in parallel. Based on that you will be able to estimate project duration. For project duration estimation we recommend to use consideration as 1 day = 6 engineer hours. This is because engineer should have some time availabe during the day for pre-sale, learning and some internal activities. 
If you're unsure about project duration estimation you may ask project manager to help.</t>
    </r>
    <r>
      <rPr>
        <sz val="11"/>
        <color theme="1"/>
        <rFont val="Calibri"/>
        <family val="2"/>
        <charset val="204"/>
        <scheme val="minor"/>
      </rPr>
      <t xml:space="preserve">
Example: let's say we have a total estimations for project = 80 hours with 4 stages in scope. Each stage will take 20 hours to be completed. Stages 1, 2, 3 should be done one by one, but stage 4 will be done in parallel with stage 3 (second engineer will participate). Thus, our duration will be 20 hours * 3 time stages = 60 hours / 6 hours a day = 10 business days. </t>
    </r>
  </si>
  <si>
    <r>
      <rPr>
        <b/>
        <i/>
        <sz val="12"/>
        <color theme="1"/>
        <rFont val="Calibri"/>
        <family val="2"/>
        <charset val="204"/>
        <scheme val="minor"/>
      </rPr>
      <t xml:space="preserve">Q: </t>
    </r>
    <r>
      <rPr>
        <i/>
        <sz val="12"/>
        <color theme="1"/>
        <rFont val="Calibri"/>
        <family val="2"/>
        <charset val="204"/>
        <scheme val="minor"/>
      </rPr>
      <t>What is the difference between simple and advanced estimations template?</t>
    </r>
  </si>
  <si>
    <r>
      <rPr>
        <b/>
        <sz val="11"/>
        <color theme="1"/>
        <rFont val="Calibri"/>
        <family val="2"/>
        <charset val="204"/>
        <scheme val="minor"/>
      </rPr>
      <t xml:space="preserve">A: </t>
    </r>
    <r>
      <rPr>
        <sz val="11"/>
        <color theme="1"/>
        <rFont val="Calibri"/>
        <family val="2"/>
        <charset val="204"/>
        <scheme val="minor"/>
      </rPr>
      <t>2.1 Simple estimations template is recommended to use for typical projects up to 15.000$. Your estimations in this case come from initial understanding of approximate cost of the project and previous experience. Using this template you may estimate efforts by stages in man days.
2.2 Advanced estimations template is recommended for custom project with cost &gt; 15.000$. In this case you probably don't know the project cost at the beginning and your estimations will be prepared through thinking about necessary tasks and efforts required for each of them.</t>
    </r>
  </si>
  <si>
    <t>Travel expenses calculator</t>
  </si>
  <si>
    <t>Customer name</t>
  </si>
  <si>
    <t>Date</t>
  </si>
  <si>
    <t>Project name</t>
  </si>
  <si>
    <t>Prepared by</t>
  </si>
  <si>
    <t>Fill only fields like</t>
  </si>
  <si>
    <t>Yellow</t>
  </si>
  <si>
    <t>From</t>
  </si>
  <si>
    <t>Russia</t>
  </si>
  <si>
    <t>To</t>
  </si>
  <si>
    <t>Malaysia</t>
  </si>
  <si>
    <t>№</t>
  </si>
  <si>
    <t>Expense</t>
  </si>
  <si>
    <t>Category</t>
  </si>
  <si>
    <t>Value</t>
  </si>
  <si>
    <t>Total working hours to be spent onsite</t>
  </si>
  <si>
    <t>Number of persons in the business trip</t>
  </si>
  <si>
    <t>Total working days in the buisiness trip for 1 person</t>
  </si>
  <si>
    <t>Per diems</t>
  </si>
  <si>
    <t>Accommodation expenses</t>
  </si>
  <si>
    <t>INT_Category 1</t>
  </si>
  <si>
    <t>Round trip tickets (train, avia, etc)</t>
  </si>
  <si>
    <t>Project manager trips for onsite kick-offs and other meetings</t>
  </si>
  <si>
    <t>Other travel expenses *</t>
  </si>
  <si>
    <t>Reserve for not identified risks **</t>
  </si>
  <si>
    <t>Total buisiness trip expenses, $</t>
  </si>
  <si>
    <t>* -  Other travel expenses includes:
- Train to/from airport expenses
- Taxi expenses
- Purchase of consumables for a project needs
- Car rent
- Other expenses</t>
  </si>
  <si>
    <r>
      <t xml:space="preserve">** - Not identified risks includes:
 - Trip tickets value changes
 - Additional transport expenses and taxes
 - Unplanned taxi expenses in the case of force majeure
 - Additional airport/railway station rates and taxes
 - Other unplanned expenses
</t>
    </r>
    <r>
      <rPr>
        <b/>
        <sz val="10"/>
        <rFont val="Arial"/>
        <family val="2"/>
        <charset val="204"/>
      </rPr>
      <t>(В случае вопросов по данному пункту уточните у Руководителя проекта)</t>
    </r>
  </si>
  <si>
    <t>Project Management Cost Calculator</t>
  </si>
  <si>
    <t>Performed measures</t>
  </si>
  <si>
    <t>Labor costs, h</t>
  </si>
  <si>
    <t>Quantity</t>
  </si>
  <si>
    <t>Total, h</t>
  </si>
  <si>
    <t>Notes</t>
  </si>
  <si>
    <t>Project initiation</t>
  </si>
  <si>
    <t>Analysis of the input data, the acceptance of the project from the Solution Sale</t>
  </si>
  <si>
    <t>one-time</t>
  </si>
  <si>
    <t>Estimate man-hours on project management, calculate business trips and other expenses, risks reservation</t>
  </si>
  <si>
    <t>Preparing project plan with timelines (depending of project duration)</t>
  </si>
  <si>
    <t>Preparing initial list of risks with action plan for each</t>
  </si>
  <si>
    <t>Prepare (and agree on) spending budget of the project and cash flow plan</t>
  </si>
  <si>
    <t>Filling in the FS, negotiating the contract with the customer</t>
  </si>
  <si>
    <t>Project accounting in corporate information systems</t>
  </si>
  <si>
    <t>Creating an estimate in 1C</t>
  </si>
  <si>
    <t>Creating a Project Plan on Project Server</t>
  </si>
  <si>
    <t>Creation of a project card and communication plan in CRM</t>
  </si>
  <si>
    <t>Audit of the project start stage</t>
  </si>
  <si>
    <t>Project start</t>
  </si>
  <si>
    <t>Formation of the project team</t>
  </si>
  <si>
    <t>Formation of project documentation</t>
  </si>
  <si>
    <t>Internal installation meeting (+ protocol)</t>
  </si>
  <si>
    <t>External installation meeting (+ protocol)</t>
  </si>
  <si>
    <t>Setting tasks, starting work</t>
  </si>
  <si>
    <t>Work with subcontractors</t>
  </si>
  <si>
    <t>Search and attraction of subcontractors, meetings and discussions</t>
  </si>
  <si>
    <t>one-time, by the number of contractors</t>
  </si>
  <si>
    <t>Execution of an application for a subcontractor</t>
  </si>
  <si>
    <t>Alignment of the contract with the subcontractor</t>
  </si>
  <si>
    <t>Installation meeting, setting tasks</t>
  </si>
  <si>
    <t>Monitoring and control</t>
  </si>
  <si>
    <t>Internal discussion of the status of the project, informing</t>
  </si>
  <si>
    <t>weekly</t>
  </si>
  <si>
    <t>External discussion of the status of the project, informing</t>
  </si>
  <si>
    <t>Solving operational issues with the project team</t>
  </si>
  <si>
    <t>Solving operational issues with the customer</t>
  </si>
  <si>
    <t>Risk management</t>
  </si>
  <si>
    <t>Updating the project plan, recording labor costs</t>
  </si>
  <si>
    <t>Hardware logistics control</t>
  </si>
  <si>
    <t>Project handover</t>
  </si>
  <si>
    <t>Acceptance of works from subcontractors</t>
  </si>
  <si>
    <t>one-time (for each subcontractor)</t>
  </si>
  <si>
    <t>Execution of acceptance and transfer acts of works with a subcontractor</t>
  </si>
  <si>
    <t>Payment for subcontractor's works, making applications in 1C</t>
  </si>
  <si>
    <t>Participation in the UAT</t>
  </si>
  <si>
    <t>Registration of documents and delivery to the customer</t>
  </si>
  <si>
    <t>Execution of acceptance and transfer acts of works with a customer</t>
  </si>
  <si>
    <t>Customer questioning</t>
  </si>
  <si>
    <t>Closing the project in corporate information systems</t>
  </si>
  <si>
    <t>Creation of actual data on the estimate in 1C</t>
  </si>
  <si>
    <t>Updating the project card in CRM, transferring the project to the archive</t>
  </si>
  <si>
    <t>Project completion</t>
  </si>
  <si>
    <t>Audit of project completion stage</t>
  </si>
  <si>
    <t>Dissolution of the project team (description of the results, meeting with the team, letter of completion)</t>
  </si>
  <si>
    <t>Additional works</t>
  </si>
  <si>
    <t>Development of additional project reporting for the customer</t>
  </si>
  <si>
    <t>Organization of additional meetings and visits to the customer</t>
  </si>
  <si>
    <t>Additional communication with contractors, organization of working groups</t>
  </si>
  <si>
    <t>Need for organization of access to facilities and coordination of work</t>
  </si>
  <si>
    <t>Other additional works</t>
  </si>
  <si>
    <t>Total hours:</t>
  </si>
  <si>
    <t>Pre-sale team</t>
  </si>
  <si>
    <t>Account manager</t>
  </si>
  <si>
    <t>Put account manager's name here</t>
  </si>
  <si>
    <t>Solution sales</t>
  </si>
  <si>
    <t>Put solution sales name here</t>
  </si>
  <si>
    <t xml:space="preserve">Delivery </t>
  </si>
  <si>
    <t>Put the name of the one who are estimating the project effort</t>
  </si>
  <si>
    <t>Project manager</t>
  </si>
  <si>
    <t>Put project manager name here</t>
  </si>
  <si>
    <t>[Add more roles if needed]</t>
  </si>
  <si>
    <t>Add more lines if needed and specify the roles and names</t>
  </si>
  <si>
    <t>Customer details</t>
  </si>
  <si>
    <t>Cutomer name</t>
  </si>
  <si>
    <t>Put customer name here</t>
  </si>
  <si>
    <t>Customer country</t>
  </si>
  <si>
    <t>CRM opportunity ID</t>
  </si>
  <si>
    <t>Indicate CRM opportunity which is related to given estimation</t>
  </si>
  <si>
    <t>Project details</t>
  </si>
  <si>
    <t>Put project name here</t>
  </si>
  <si>
    <t>Project objectives</t>
  </si>
  <si>
    <t>Describe the goals and objectives of the potential project, associated business problem and other important details referring project purpose</t>
  </si>
  <si>
    <t>Project high-level requrements</t>
  </si>
  <si>
    <t>Project funding source</t>
  </si>
  <si>
    <t>Describe the revenue streams (customer budget, vendor funding etc.) and specify expected revenue amount from each of them</t>
  </si>
  <si>
    <t>Summary available project funding, USD</t>
  </si>
  <si>
    <t>Input the total available sum to fund turn-key solution implementation (services and any required software/hardware)</t>
  </si>
  <si>
    <t>Customer's requirements and expectations</t>
  </si>
  <si>
    <t>Describe customer requirements which given project should address (technical, organizational, time-related, financial and any others). Mention everything which may affect project scope, budget, timeline, techical methodolody and approach to project management.</t>
  </si>
  <si>
    <t>! IMPORTANT !
Key project parameters below should be treated as delivery commitments for a project. They should become the basis of the commercial and technical proposal for the customer.</t>
  </si>
  <si>
    <t>Project scope</t>
  </si>
  <si>
    <t>Describe key deliverables and specify if anything is out of scope</t>
  </si>
  <si>
    <t>Describe any constraints that should be agreed with the customer and included into proposal</t>
  </si>
  <si>
    <t>Internal requirements</t>
  </si>
  <si>
    <t>Any specific internal requirements for the project</t>
  </si>
  <si>
    <t>Project timeline</t>
  </si>
  <si>
    <t>Specify estimated project implementation time</t>
  </si>
  <si>
    <t>Enter value</t>
  </si>
  <si>
    <t>Project expenditure budget</t>
  </si>
  <si>
    <t>In-house delivery resources</t>
  </si>
  <si>
    <t>Refer to Estimations - A</t>
  </si>
  <si>
    <t>Assessed risks</t>
  </si>
  <si>
    <t>Refer to Estimations - B</t>
  </si>
  <si>
    <t>3rd parties/ partners</t>
  </si>
  <si>
    <t>Refer to Estimations - C</t>
  </si>
  <si>
    <t>Project management</t>
  </si>
  <si>
    <t>Refer to Estimations - D</t>
  </si>
  <si>
    <t>Business trips</t>
  </si>
  <si>
    <t>Consumables</t>
  </si>
  <si>
    <t>Other expenses</t>
  </si>
  <si>
    <t>TOTAL PROJECT COST/ BUDGET</t>
  </si>
  <si>
    <t>Calculation</t>
  </si>
  <si>
    <t>Commercials</t>
  </si>
  <si>
    <t>Target margin</t>
  </si>
  <si>
    <t>Gross profit</t>
  </si>
  <si>
    <t>TOTAL PROJECT PRICE (REVENUE)</t>
  </si>
  <si>
    <t>Potential contract price</t>
  </si>
  <si>
    <t>Services revenue</t>
  </si>
  <si>
    <t>Licence revenue (reference)</t>
  </si>
  <si>
    <t>Hardware revenue (reference)</t>
  </si>
  <si>
    <t>TOTAL CONTRACT PRICE</t>
  </si>
  <si>
    <t>Target margin (refer to Project overview)</t>
  </si>
  <si>
    <t>A. In-house delivery resources</t>
  </si>
  <si>
    <t>#</t>
  </si>
  <si>
    <t>Project implementation tasks</t>
  </si>
  <si>
    <t>Resource country</t>
  </si>
  <si>
    <t>Resource role</t>
  </si>
  <si>
    <t>Rate, USD</t>
  </si>
  <si>
    <t>Estimated hours</t>
  </si>
  <si>
    <t>Cost, USD</t>
  </si>
  <si>
    <t>Revenue, USD</t>
  </si>
  <si>
    <t>Resource Full Name</t>
  </si>
  <si>
    <t>Colombia</t>
  </si>
  <si>
    <t>Engineer</t>
  </si>
  <si>
    <t>Peru</t>
  </si>
  <si>
    <t>Total</t>
  </si>
  <si>
    <t>Estimation accuracy buffer</t>
  </si>
  <si>
    <t>Select appropriate value of the correction level depending of the assumption of the estimation accuracy level, supposition of not assessible risks and other unseen circumstances . This will be added on top of the resource cost as a buffer.</t>
  </si>
  <si>
    <t>Technical governance - Project architect involvement ratio</t>
  </si>
  <si>
    <t>Estimate overall involvement ratio in %, then choose the approproate role, so this will be applied to overall in-house cost, and estimated hours will be calculated automatically.</t>
  </si>
  <si>
    <t>Total cost of in-house delivery resources</t>
  </si>
  <si>
    <t>B. Assessed risks</t>
  </si>
  <si>
    <t>Risk name</t>
  </si>
  <si>
    <t>Risk description</t>
  </si>
  <si>
    <t>Risk level</t>
  </si>
  <si>
    <t>Strategy</t>
  </si>
  <si>
    <t>Risk #1</t>
  </si>
  <si>
    <t>Describe the essense of the risk end it's potential effect</t>
  </si>
  <si>
    <t>High</t>
  </si>
  <si>
    <t>Define the strategy to work with the risk (avoidance, mitigation, transfer, acceptance) and describe required actions</t>
  </si>
  <si>
    <t>Risk #2</t>
  </si>
  <si>
    <t>Medium</t>
  </si>
  <si>
    <t>Risk #3</t>
  </si>
  <si>
    <t>Low</t>
  </si>
  <si>
    <t>Total assesed risks cost</t>
  </si>
  <si>
    <t>C. 3rd parties/ partners</t>
  </si>
  <si>
    <t>Subcontractor</t>
  </si>
  <si>
    <t>Involvement reason</t>
  </si>
  <si>
    <t>Scope</t>
  </si>
  <si>
    <t>Name #1</t>
  </si>
  <si>
    <t>Specify the need of given engagament (lack of in-house expertise, certain accreditation is required, cost effectiveness, customer requirement, etc.)</t>
  </si>
  <si>
    <t>Specify the project scope/ deliverables entrusted to execute by 3rd party</t>
  </si>
  <si>
    <t>Name #2</t>
  </si>
  <si>
    <t>Name #3</t>
  </si>
  <si>
    <t>Total subcontactors cost</t>
  </si>
  <si>
    <t>D. Project management</t>
  </si>
  <si>
    <t>Subtotal for calculate project management cost</t>
  </si>
  <si>
    <t>Project management - PM involvement ratio</t>
  </si>
  <si>
    <t>Recommendations based on budget subtotal (cell I60)</t>
  </si>
  <si>
    <t>Total project management cost</t>
  </si>
  <si>
    <t>below $5000</t>
  </si>
  <si>
    <t>from $5000 to $10000</t>
  </si>
  <si>
    <t>from $10000 to $25000</t>
  </si>
  <si>
    <t>10% Project manager</t>
  </si>
  <si>
    <t>above $25000</t>
  </si>
  <si>
    <t>20% Project manager</t>
  </si>
  <si>
    <t>These are median values, you may put any adequate % based on project specifics and complexity</t>
  </si>
  <si>
    <t>Project governance overview</t>
  </si>
  <si>
    <t>Role</t>
  </si>
  <si>
    <t>Total man hours</t>
  </si>
  <si>
    <t>Total cost</t>
  </si>
  <si>
    <t>Project delivery overview</t>
  </si>
  <si>
    <t xml:space="preserve"> </t>
  </si>
  <si>
    <t>Country</t>
  </si>
  <si>
    <t>Performer country</t>
  </si>
  <si>
    <t>Argentina</t>
  </si>
  <si>
    <t>Brazil</t>
  </si>
  <si>
    <t>Bulgaria</t>
  </si>
  <si>
    <t>Cambodia</t>
  </si>
  <si>
    <t>Chile</t>
  </si>
  <si>
    <t>Costa Rica</t>
  </si>
  <si>
    <t>Costa_Rica</t>
  </si>
  <si>
    <t>Croatia</t>
  </si>
  <si>
    <t>Customer</t>
  </si>
  <si>
    <t>Ecuador</t>
  </si>
  <si>
    <t>Hungary</t>
  </si>
  <si>
    <t>Egypt</t>
  </si>
  <si>
    <t>India</t>
  </si>
  <si>
    <t>El Salvador</t>
  </si>
  <si>
    <t>Guatemala</t>
  </si>
  <si>
    <t>Myanmar</t>
  </si>
  <si>
    <t>Honduras</t>
  </si>
  <si>
    <t>Philippines</t>
  </si>
  <si>
    <t>Romania</t>
  </si>
  <si>
    <t>Thailand</t>
  </si>
  <si>
    <t>Mexico</t>
  </si>
  <si>
    <t>Vietnam</t>
  </si>
  <si>
    <t>Nicaragua</t>
  </si>
  <si>
    <t>Panama</t>
  </si>
  <si>
    <t>Paraguay</t>
  </si>
  <si>
    <t>Serbia</t>
  </si>
  <si>
    <t>Slovakia</t>
  </si>
  <si>
    <t>Slovenia</t>
  </si>
  <si>
    <t>Turkey</t>
  </si>
  <si>
    <t>Uruguay</t>
  </si>
  <si>
    <t>Venezuela</t>
  </si>
  <si>
    <t>Junior engineer</t>
  </si>
  <si>
    <t>Senior engineer</t>
  </si>
  <si>
    <t>Architect</t>
  </si>
  <si>
    <t>Senior architect</t>
  </si>
  <si>
    <t>Junior developer</t>
  </si>
  <si>
    <t>Developer</t>
  </si>
  <si>
    <t>Senior developer</t>
  </si>
  <si>
    <t>Teamlead</t>
  </si>
  <si>
    <t>Project management roles</t>
  </si>
  <si>
    <t>Project coordinator</t>
  </si>
  <si>
    <t>Technical governance roles</t>
  </si>
  <si>
    <t>Rate name</t>
  </si>
  <si>
    <t>Hour rate, USD</t>
  </si>
  <si>
    <t>Customer engineer</t>
  </si>
  <si>
    <t>Support engineer</t>
  </si>
  <si>
    <t>Trainee</t>
  </si>
  <si>
    <t>Requirement source</t>
  </si>
  <si>
    <t>Priority</t>
  </si>
  <si>
    <t>Author</t>
  </si>
  <si>
    <t>Complexity</t>
  </si>
  <si>
    <t>Relevance</t>
  </si>
  <si>
    <t>Project direction</t>
  </si>
  <si>
    <t>Industry</t>
  </si>
  <si>
    <t>Softline</t>
  </si>
  <si>
    <t>Requirements management analyst</t>
  </si>
  <si>
    <t>Actual</t>
  </si>
  <si>
    <t>Antivirus protection</t>
  </si>
  <si>
    <t>Automotive industry</t>
  </si>
  <si>
    <t>Pre-sale architect</t>
  </si>
  <si>
    <t>Not actual</t>
  </si>
  <si>
    <t>Informatization objects attestation</t>
  </si>
  <si>
    <t>Gas industry</t>
  </si>
  <si>
    <t>Project architect</t>
  </si>
  <si>
    <t>Audit of computing / network infrastructure</t>
  </si>
  <si>
    <t>State and municipal sector</t>
  </si>
  <si>
    <t>Audit for compliance with information security requirements</t>
  </si>
  <si>
    <t>Housing and utilities</t>
  </si>
  <si>
    <t>Virtualization (Vmware and Microsoft)</t>
  </si>
  <si>
    <t>Healthcare</t>
  </si>
  <si>
    <t>Consultant</t>
  </si>
  <si>
    <t>Virtual Desktops Ingfrastructure (VDI)</t>
  </si>
  <si>
    <t>Information Technology</t>
  </si>
  <si>
    <t>DLP implementing</t>
  </si>
  <si>
    <t>Light industry</t>
  </si>
  <si>
    <t>IDM implementing</t>
  </si>
  <si>
    <t>Mechanical engineering</t>
  </si>
  <si>
    <t>SIEM implementing</t>
  </si>
  <si>
    <t>Metallurgy</t>
  </si>
  <si>
    <t>WAF / DBF implementing</t>
  </si>
  <si>
    <t>Science and scientific services</t>
  </si>
  <si>
    <t>Delivery roles</t>
  </si>
  <si>
    <t>Information security management system implementing</t>
  </si>
  <si>
    <t>Oil-producing industry</t>
  </si>
  <si>
    <t>CIP implementing</t>
  </si>
  <si>
    <t>Oil refining industry</t>
  </si>
  <si>
    <t>Analyst</t>
  </si>
  <si>
    <t>Delivering applications and balancers</t>
  </si>
  <si>
    <t>Education</t>
  </si>
  <si>
    <t>State secrets protection</t>
  </si>
  <si>
    <t>Food industry</t>
  </si>
  <si>
    <t>Technical Writer</t>
  </si>
  <si>
    <t>Information protectiob in Banking Organizations</t>
  </si>
  <si>
    <t>Instrument making</t>
  </si>
  <si>
    <t>Technical Architect</t>
  </si>
  <si>
    <t>Trade secret protection</t>
  </si>
  <si>
    <t>Project institutes</t>
  </si>
  <si>
    <t>Personal data protection</t>
  </si>
  <si>
    <t>Restaurants and catering</t>
  </si>
  <si>
    <t>Microsoft Infrastructure</t>
  </si>
  <si>
    <t>Agriculture</t>
  </si>
  <si>
    <t>Complex Infrastructure Projects</t>
  </si>
  <si>
    <t>Mass media</t>
  </si>
  <si>
    <t>Comprehensive information security projects</t>
  </si>
  <si>
    <t>Construction, real estate</t>
  </si>
  <si>
    <t>Content filtering</t>
  </si>
  <si>
    <t>Trade</t>
  </si>
  <si>
    <t>Provision the security of information in the process control system</t>
  </si>
  <si>
    <t>Transport</t>
  </si>
  <si>
    <t>Provision the activity of the certifying center (CA)</t>
  </si>
  <si>
    <t>Tourism</t>
  </si>
  <si>
    <t>Business continuity provisioning</t>
  </si>
  <si>
    <t>Coal industry</t>
  </si>
  <si>
    <t>Cloud technologies</t>
  </si>
  <si>
    <t>Pharmaceuticals</t>
  </si>
  <si>
    <t>Portal solutions</t>
  </si>
  <si>
    <t>Finance, credit, insurance, pensions</t>
  </si>
  <si>
    <t>Mail systems</t>
  </si>
  <si>
    <t>Chemical and petrochemical industry</t>
  </si>
  <si>
    <t>Countering DDOS attacks</t>
  </si>
  <si>
    <t>Electrotechnical industry</t>
  </si>
  <si>
    <t>Backup</t>
  </si>
  <si>
    <t>Power engineering</t>
  </si>
  <si>
    <t>Servers and storage</t>
  </si>
  <si>
    <t>Jurisprudence</t>
  </si>
  <si>
    <t>Network Security</t>
  </si>
  <si>
    <t>Networks - Routing &amp; Switching</t>
  </si>
  <si>
    <t>Networks - Unified Communications</t>
  </si>
  <si>
    <t>Networks - Wireless</t>
  </si>
  <si>
    <t>Business Intelligence Systems (BI)</t>
  </si>
  <si>
    <t>Management systems</t>
  </si>
  <si>
    <t>Database management systems</t>
  </si>
  <si>
    <t>IT Service Management (ITSM)</t>
  </si>
  <si>
    <t>Corporate Content Management (ECM)</t>
  </si>
  <si>
    <t>Latvia</t>
  </si>
  <si>
    <t>Lithuania</t>
  </si>
  <si>
    <t>Estonia</t>
  </si>
  <si>
    <t>Project constraints</t>
  </si>
  <si>
    <t>10% Project coondinator</t>
  </si>
  <si>
    <t>15% Project manager</t>
  </si>
  <si>
    <t>Right-click on table and "Refresh" to refresh the data</t>
  </si>
  <si>
    <t>Service delivery manager</t>
  </si>
  <si>
    <t>Internal Freeze, Video Recording &amp; Executive Dry Run</t>
  </si>
  <si>
    <t>Requirements &amp; Sample Data Alignment</t>
  </si>
  <si>
    <t>Azure AI Infrastructure Provisioning</t>
  </si>
  <si>
    <t>M365 &amp; Power Platform Environment Setup</t>
  </si>
  <si>
    <t>Dataverse Schema &amp; Mock Ledgers</t>
  </si>
  <si>
    <t>OCR Model Calibration</t>
  </si>
  <si>
    <t>GPT-4o Vision Prompt Engineering</t>
  </si>
  <si>
    <t>Process 1 Power Automate Workflows - Build RFP Ingestion</t>
  </si>
  <si>
    <t>Process 2 Power Automate Workflows - Build Document Intelligence</t>
  </si>
  <si>
    <t>Teams Adaptive Cards (v1.5) Development</t>
  </si>
  <si>
    <t>Copilot Studio Agent Orchestration</t>
  </si>
  <si>
    <t>End-to-End System Testing &amp; Tuning</t>
  </si>
  <si>
    <t>Strategy &amp; Assessment Collateral</t>
  </si>
  <si>
    <t>Malaysia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</si>
</sst>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quot;₸&quot;_-;\-* #,##0.00\ &quot;₸&quot;_-;_-* &quot;-&quot;??\ &quot;₸&quot;_-;_-@_-"/>
    <numFmt numFmtId="165" formatCode="_ * #,##0.00_ ;_ * \-#,##0.00_ ;_ * &quot;-&quot;??_ ;_ @_ "/>
    <numFmt numFmtId="166" formatCode="0.0"/>
    <numFmt numFmtId="167" formatCode="_-[$$-409]* #,##0.00_ ;_-[$$-409]* \-#,##0.00\ ;_-[$$-409]* &quot;-&quot;??_ ;_-@_ "/>
    <numFmt numFmtId="168" formatCode="0&quot; manhours&quot;"/>
    <numFmt numFmtId="169" formatCode="0&quot; person(s)&quot;"/>
    <numFmt numFmtId="170" formatCode="0&quot; workdays&quot;"/>
    <numFmt numFmtId="171" formatCode="0&quot; trip(s)&quot;"/>
    <numFmt numFmtId="172" formatCode="#,##0.00\ &quot;₸&quot;"/>
    <numFmt numFmtId="173" formatCode="_-[$$-409]* #,##0_ ;_-[$$-409]* \-#,##0\ ;_-[$$-409]* &quot;-&quot;??_ ;_-@_ "/>
    <numFmt numFmtId="174" formatCode="[$$-409]#,##0"/>
    <numFmt numFmtId="175" formatCode="0&quot; hours&quot;"/>
  </numFmts>
  <fonts count="3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color theme="1"/>
      <name val="Arial"/>
      <family val="2"/>
      <charset val="204"/>
    </font>
    <font>
      <b/>
      <sz val="11"/>
      <name val="Arial"/>
      <family val="2"/>
      <charset val="204"/>
    </font>
    <font>
      <sz val="11"/>
      <name val="Arial"/>
      <family val="2"/>
      <charset val="204"/>
    </font>
    <font>
      <b/>
      <sz val="13"/>
      <name val="Arial"/>
      <family val="2"/>
      <charset val="204"/>
    </font>
    <font>
      <sz val="11"/>
      <color theme="1"/>
      <name val="Calibri"/>
      <family val="2"/>
      <scheme val="minor"/>
    </font>
    <font>
      <b/>
      <sz val="10"/>
      <name val="Arial"/>
      <family val="2"/>
      <charset val="204"/>
    </font>
    <font>
      <sz val="8"/>
      <color theme="1"/>
      <name val="Arial"/>
      <family val="2"/>
      <charset val="204"/>
    </font>
    <font>
      <b/>
      <sz val="11"/>
      <color theme="1"/>
      <name val="Calibri"/>
      <family val="2"/>
      <charset val="204"/>
      <scheme val="minor"/>
    </font>
    <font>
      <b/>
      <sz val="10"/>
      <color rgb="FF000000"/>
      <name val="Calibri"/>
      <family val="2"/>
      <scheme val="minor"/>
    </font>
    <font>
      <sz val="10"/>
      <name val="Arial"/>
      <family val="2"/>
      <charset val="204"/>
    </font>
    <font>
      <b/>
      <sz val="10"/>
      <color theme="1"/>
      <name val="Arial"/>
      <family val="2"/>
      <charset val="204"/>
    </font>
    <font>
      <b/>
      <sz val="11"/>
      <color theme="0"/>
      <name val="Calibri"/>
      <family val="2"/>
      <charset val="204"/>
      <scheme val="minor"/>
    </font>
    <font>
      <b/>
      <sz val="11"/>
      <color theme="0"/>
      <name val="Calibri"/>
      <family val="2"/>
      <scheme val="minor"/>
    </font>
    <font>
      <sz val="10"/>
      <color theme="1"/>
      <name val="Calibri"/>
      <family val="2"/>
      <charset val="204"/>
      <scheme val="minor"/>
    </font>
    <font>
      <u/>
      <sz val="11"/>
      <color theme="1"/>
      <name val="Calibri"/>
      <family val="2"/>
      <charset val="204"/>
      <scheme val="minor"/>
    </font>
    <font>
      <i/>
      <sz val="12"/>
      <color theme="1"/>
      <name val="Calibri"/>
      <family val="2"/>
      <charset val="204"/>
      <scheme val="minor"/>
    </font>
    <font>
      <b/>
      <i/>
      <sz val="12"/>
      <color theme="1"/>
      <name val="Calibri"/>
      <family val="2"/>
      <charset val="204"/>
      <scheme val="minor"/>
    </font>
    <font>
      <b/>
      <i/>
      <sz val="12"/>
      <color rgb="FFFF0000"/>
      <name val="Calibri"/>
      <family val="2"/>
      <charset val="204"/>
      <scheme val="minor"/>
    </font>
    <font>
      <sz val="11"/>
      <color rgb="FF9C5700"/>
      <name val="Calibri"/>
      <family val="2"/>
      <charset val="204"/>
      <scheme val="minor"/>
    </font>
    <font>
      <sz val="10"/>
      <color theme="1"/>
      <name val="Calibri"/>
      <family val="2"/>
      <scheme val="minor"/>
    </font>
    <font>
      <b/>
      <sz val="10"/>
      <color theme="1"/>
      <name val="Calibri"/>
      <family val="2"/>
      <charset val="204"/>
      <scheme val="minor"/>
    </font>
    <font>
      <b/>
      <sz val="10"/>
      <color theme="1"/>
      <name val="Calibri"/>
      <family val="2"/>
      <scheme val="minor"/>
    </font>
    <font>
      <sz val="10"/>
      <name val="Calibri"/>
      <family val="2"/>
      <scheme val="minor"/>
    </font>
    <font>
      <b/>
      <sz val="10"/>
      <color theme="0"/>
      <name val="Calibri"/>
      <family val="2"/>
      <scheme val="minor"/>
    </font>
    <font>
      <sz val="10"/>
      <color theme="0"/>
      <name val="Calibri"/>
      <family val="2"/>
      <scheme val="minor"/>
    </font>
    <font>
      <b/>
      <i/>
      <sz val="10"/>
      <color theme="0"/>
      <name val="Calibri"/>
      <family val="2"/>
      <scheme val="minor"/>
    </font>
    <font>
      <b/>
      <sz val="12"/>
      <color theme="0"/>
      <name val="Calibri"/>
      <family val="2"/>
      <charset val="204"/>
      <scheme val="minor"/>
    </font>
    <font>
      <b/>
      <sz val="11"/>
      <color theme="1"/>
      <name val="Calibri"/>
      <family val="2"/>
      <scheme val="minor"/>
    </font>
    <font>
      <b/>
      <i/>
      <sz val="11"/>
      <color theme="0"/>
      <name val="Calibri"/>
      <family val="2"/>
      <scheme val="minor"/>
    </font>
    <font>
      <b/>
      <sz val="11"/>
      <color rgb="FFFF0000"/>
      <name val="Calibri"/>
      <family val="2"/>
      <charset val="204"/>
      <scheme val="minor"/>
    </font>
    <font>
      <sz val="8"/>
      <color theme="1"/>
      <name val="Calibri"/>
      <family val="2"/>
      <scheme val="minor"/>
    </font>
    <font>
      <b/>
      <sz val="9"/>
      <color theme="1"/>
      <name val="Calibri"/>
      <family val="2"/>
      <charset val="204"/>
      <scheme val="minor"/>
    </font>
  </fonts>
  <fills count="25">
    <fill>
      <patternFill patternType="none"/>
    </fill>
    <fill>
      <patternFill patternType="gray125"/>
    </fill>
    <fill>
      <patternFill patternType="solid">
        <fgColor theme="0" tint="-4.9989318521683403E-2"/>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EB9C"/>
      </patternFill>
    </fill>
    <fill>
      <patternFill patternType="solid">
        <fgColor theme="2"/>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rgb="FFFFFFCC"/>
        <bgColor indexed="64"/>
      </patternFill>
    </fill>
    <fill>
      <patternFill patternType="solid">
        <fgColor theme="1" tint="0.249977111117893"/>
        <bgColor indexed="64"/>
      </patternFill>
    </fill>
    <fill>
      <patternFill patternType="solid">
        <fgColor theme="0" tint="-0.14999847407452621"/>
        <bgColor theme="0" tint="-0.14999847407452621"/>
      </patternFill>
    </fill>
    <fill>
      <patternFill patternType="solid">
        <fgColor theme="1" tint="0.499984740745262"/>
        <bgColor indexed="64"/>
      </patternFill>
    </fill>
    <fill>
      <patternFill patternType="solid">
        <fgColor theme="0" tint="-0.14999847407452621"/>
        <bgColor indexed="64"/>
      </patternFill>
    </fill>
    <fill>
      <patternFill patternType="solid">
        <fgColor rgb="FFEEECE1"/>
        <bgColor rgb="FF000000"/>
      </patternFill>
    </fill>
    <fill>
      <patternFill patternType="solid">
        <fgColor rgb="FFFDE9D9"/>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8" tint="0.79998168889431442"/>
      </top>
      <bottom style="thin">
        <color theme="8" tint="0.79998168889431442"/>
      </bottom>
      <diagonal/>
    </border>
    <border>
      <left style="double">
        <color theme="0"/>
      </left>
      <right style="double">
        <color theme="0"/>
      </right>
      <top style="double">
        <color theme="0"/>
      </top>
      <bottom style="double">
        <color theme="0"/>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right style="thin">
        <color theme="1"/>
      </right>
      <top style="thin">
        <color indexed="64"/>
      </top>
      <bottom/>
      <diagonal/>
    </border>
    <border>
      <left/>
      <right style="thin">
        <color theme="1"/>
      </right>
      <top style="thin">
        <color theme="1"/>
      </top>
      <bottom style="thin">
        <color theme="1"/>
      </bottom>
      <diagonal/>
    </border>
    <border>
      <left/>
      <right style="thin">
        <color theme="1"/>
      </right>
      <top/>
      <bottom style="thin">
        <color theme="1"/>
      </bottom>
      <diagonal/>
    </border>
    <border>
      <left/>
      <right/>
      <top/>
      <bottom style="thick">
        <color indexed="64"/>
      </bottom>
      <diagonal/>
    </border>
    <border>
      <left/>
      <right/>
      <top style="thick">
        <color indexed="64"/>
      </top>
      <bottom/>
      <diagonal/>
    </border>
    <border>
      <left style="thin">
        <color theme="1"/>
      </left>
      <right/>
      <top style="thin">
        <color theme="1"/>
      </top>
      <bottom/>
      <diagonal/>
    </border>
    <border>
      <left/>
      <right/>
      <top style="thin">
        <color theme="1"/>
      </top>
      <bottom style="thin">
        <color theme="1"/>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9" fontId="10" fillId="0" borderId="0" applyFont="0" applyFill="0" applyBorder="0" applyAlignment="0" applyProtection="0"/>
    <xf numFmtId="164" fontId="10" fillId="0" borderId="0" applyFont="0" applyFill="0" applyBorder="0" applyAlignment="0" applyProtection="0"/>
    <xf numFmtId="0" fontId="5" fillId="0" borderId="0"/>
    <xf numFmtId="0" fontId="4" fillId="0" borderId="0"/>
    <xf numFmtId="164" fontId="10" fillId="0" borderId="0" applyFont="0" applyFill="0" applyBorder="0" applyAlignment="0" applyProtection="0"/>
    <xf numFmtId="0" fontId="3" fillId="0" borderId="0"/>
    <xf numFmtId="0" fontId="3" fillId="0" borderId="0"/>
    <xf numFmtId="165" fontId="10" fillId="0" borderId="0" applyFont="0" applyFill="0" applyBorder="0" applyAlignment="0" applyProtection="0"/>
    <xf numFmtId="0" fontId="24" fillId="11" borderId="0" applyNumberFormat="0" applyBorder="0" applyAlignment="0" applyProtection="0"/>
  </cellStyleXfs>
  <cellXfs count="207">
    <xf numFmtId="0" fontId="0" fillId="0" borderId="0" xfId="0"/>
    <xf numFmtId="0" fontId="7" fillId="0" borderId="0" xfId="0" applyFont="1"/>
    <xf numFmtId="0" fontId="8" fillId="0" borderId="1" xfId="0" applyFont="1" applyBorder="1" applyAlignment="1">
      <alignment horizontal="center" vertical="center" wrapText="1"/>
    </xf>
    <xf numFmtId="0" fontId="5" fillId="0" borderId="0" xfId="3"/>
    <xf numFmtId="0" fontId="5" fillId="0" borderId="0" xfId="3" applyAlignment="1">
      <alignment horizontal="left" vertical="top"/>
    </xf>
    <xf numFmtId="0" fontId="5" fillId="0" borderId="0" xfId="3" applyAlignment="1">
      <alignment vertical="top"/>
    </xf>
    <xf numFmtId="0" fontId="5" fillId="0" borderId="6" xfId="3" applyBorder="1" applyAlignment="1">
      <alignment wrapText="1"/>
    </xf>
    <xf numFmtId="0" fontId="13" fillId="6" borderId="1" xfId="0" applyFont="1" applyFill="1" applyBorder="1" applyAlignment="1">
      <alignment horizontal="center" vertical="center" wrapText="1"/>
    </xf>
    <xf numFmtId="0" fontId="0" fillId="0" borderId="0" xfId="0" applyAlignment="1">
      <alignment vertical="top" wrapText="1"/>
    </xf>
    <xf numFmtId="0" fontId="0" fillId="0" borderId="1" xfId="0" applyBorder="1" applyAlignment="1">
      <alignment vertical="top" wrapText="1"/>
    </xf>
    <xf numFmtId="0" fontId="0" fillId="8" borderId="1" xfId="0" applyFill="1" applyBorder="1" applyAlignment="1">
      <alignment vertical="top" wrapText="1"/>
    </xf>
    <xf numFmtId="0" fontId="0" fillId="0" borderId="2" xfId="0" applyBorder="1" applyAlignment="1">
      <alignment vertical="top" wrapText="1"/>
    </xf>
    <xf numFmtId="0" fontId="13" fillId="0" borderId="1" xfId="0" applyFont="1" applyBorder="1" applyAlignment="1">
      <alignment vertical="top" wrapText="1"/>
    </xf>
    <xf numFmtId="0" fontId="0" fillId="9" borderId="1" xfId="0" applyFill="1" applyBorder="1" applyAlignment="1">
      <alignment vertical="top" wrapText="1"/>
    </xf>
    <xf numFmtId="0" fontId="9" fillId="0" borderId="0" xfId="0" applyFont="1" applyAlignment="1">
      <alignment vertical="center"/>
    </xf>
    <xf numFmtId="0" fontId="8" fillId="0" borderId="0" xfId="0" applyFont="1" applyAlignment="1">
      <alignment vertical="center"/>
    </xf>
    <xf numFmtId="0" fontId="12" fillId="0" borderId="0" xfId="0" applyFont="1" applyAlignment="1">
      <alignment horizontal="left" vertical="center"/>
    </xf>
    <xf numFmtId="166" fontId="11" fillId="3" borderId="1" xfId="0" applyNumberFormat="1" applyFont="1" applyFill="1" applyBorder="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right" vertical="center"/>
    </xf>
    <xf numFmtId="0" fontId="0" fillId="0" borderId="0" xfId="0" applyAlignment="1">
      <alignment vertical="center"/>
    </xf>
    <xf numFmtId="0" fontId="0" fillId="4" borderId="0" xfId="0" applyFill="1" applyAlignment="1">
      <alignment vertical="center"/>
    </xf>
    <xf numFmtId="166" fontId="11" fillId="3" borderId="4" xfId="0" applyNumberFormat="1" applyFont="1" applyFill="1" applyBorder="1" applyAlignment="1">
      <alignment horizontal="center" vertical="center" wrapText="1"/>
    </xf>
    <xf numFmtId="166" fontId="11" fillId="3" borderId="1" xfId="0" applyNumberFormat="1" applyFont="1" applyFill="1" applyBorder="1" applyAlignment="1">
      <alignment horizontal="center" vertical="center" wrapText="1"/>
    </xf>
    <xf numFmtId="170" fontId="8" fillId="4" borderId="1" xfId="0" applyNumberFormat="1" applyFont="1" applyFill="1" applyBorder="1" applyAlignment="1">
      <alignment horizontal="center" vertical="center" wrapText="1"/>
    </xf>
    <xf numFmtId="167" fontId="8" fillId="0" borderId="1" xfId="0" applyNumberFormat="1" applyFont="1" applyBorder="1" applyAlignment="1">
      <alignment horizontal="center" vertical="center" wrapText="1"/>
    </xf>
    <xf numFmtId="0" fontId="8" fillId="0" borderId="1" xfId="0" applyFont="1" applyBorder="1" applyAlignment="1">
      <alignment vertical="center"/>
    </xf>
    <xf numFmtId="167" fontId="7" fillId="0" borderId="1" xfId="0" applyNumberFormat="1" applyFont="1" applyBorder="1" applyAlignment="1">
      <alignment horizontal="center" vertical="center" wrapText="1"/>
    </xf>
    <xf numFmtId="172" fontId="8" fillId="0" borderId="0" xfId="0" applyNumberFormat="1" applyFont="1" applyAlignment="1">
      <alignment horizontal="left" vertical="center" wrapText="1"/>
    </xf>
    <xf numFmtId="0" fontId="8" fillId="0" borderId="0" xfId="0" applyFont="1" applyAlignment="1">
      <alignment vertical="center" wrapText="1"/>
    </xf>
    <xf numFmtId="0" fontId="13" fillId="0" borderId="0" xfId="0" applyFont="1" applyAlignment="1">
      <alignment horizontal="right" vertical="center"/>
    </xf>
    <xf numFmtId="0" fontId="0" fillId="9" borderId="0" xfId="0" applyFill="1" applyAlignment="1">
      <alignment horizontal="center" vertical="center"/>
    </xf>
    <xf numFmtId="168" fontId="8" fillId="9" borderId="1" xfId="0" applyNumberFormat="1" applyFont="1" applyFill="1" applyBorder="1" applyAlignment="1">
      <alignment horizontal="center" vertical="center" wrapText="1"/>
    </xf>
    <xf numFmtId="169" fontId="8" fillId="9" borderId="1" xfId="0" applyNumberFormat="1" applyFont="1" applyFill="1" applyBorder="1" applyAlignment="1">
      <alignment horizontal="center" vertical="center" wrapText="1"/>
    </xf>
    <xf numFmtId="0" fontId="8" fillId="9" borderId="1" xfId="0" applyFont="1" applyFill="1" applyBorder="1" applyAlignment="1">
      <alignment horizontal="left" vertical="center" wrapText="1"/>
    </xf>
    <xf numFmtId="171" fontId="8" fillId="9" borderId="1" xfId="0" applyNumberFormat="1" applyFont="1" applyFill="1" applyBorder="1" applyAlignment="1">
      <alignment horizontal="left" vertical="center" wrapText="1"/>
    </xf>
    <xf numFmtId="167" fontId="8" fillId="9" borderId="1" xfId="0" applyNumberFormat="1" applyFont="1" applyFill="1" applyBorder="1" applyAlignment="1">
      <alignment horizontal="center" vertical="center" wrapText="1"/>
    </xf>
    <xf numFmtId="170" fontId="8" fillId="9" borderId="1" xfId="0" applyNumberFormat="1" applyFont="1" applyFill="1" applyBorder="1" applyAlignment="1">
      <alignment horizontal="center" vertical="center" wrapText="1"/>
    </xf>
    <xf numFmtId="9" fontId="8" fillId="9" borderId="1" xfId="0" applyNumberFormat="1" applyFont="1" applyFill="1" applyBorder="1" applyAlignment="1">
      <alignment horizontal="center" vertical="center" wrapText="1"/>
    </xf>
    <xf numFmtId="14" fontId="11" fillId="9" borderId="1" xfId="0" applyNumberFormat="1" applyFont="1" applyFill="1" applyBorder="1" applyAlignment="1">
      <alignment horizontal="center" vertical="center"/>
    </xf>
    <xf numFmtId="0" fontId="11" fillId="9" borderId="1" xfId="0" applyFont="1" applyFill="1" applyBorder="1" applyAlignment="1">
      <alignment horizontal="center" vertical="center"/>
    </xf>
    <xf numFmtId="0" fontId="13" fillId="9" borderId="1" xfId="0" applyFont="1" applyFill="1" applyBorder="1" applyAlignment="1">
      <alignment horizontal="center" vertical="center"/>
    </xf>
    <xf numFmtId="1" fontId="0" fillId="8" borderId="1" xfId="0" applyNumberFormat="1" applyFill="1" applyBorder="1" applyAlignment="1">
      <alignment vertical="top" wrapText="1"/>
    </xf>
    <xf numFmtId="0" fontId="8" fillId="0" borderId="0" xfId="0" applyFont="1" applyAlignment="1">
      <alignment horizontal="left" vertical="center" wrapText="1"/>
    </xf>
    <xf numFmtId="0" fontId="9" fillId="0" borderId="0" xfId="0" applyFont="1" applyAlignment="1">
      <alignment horizontal="center" vertical="center"/>
    </xf>
    <xf numFmtId="166" fontId="15" fillId="4" borderId="0" xfId="0" applyNumberFormat="1" applyFont="1" applyFill="1" applyAlignment="1">
      <alignment horizontal="right" vertical="center" wrapText="1"/>
    </xf>
    <xf numFmtId="0" fontId="8" fillId="0" borderId="1" xfId="0" applyFont="1" applyBorder="1" applyAlignment="1">
      <alignment horizontal="left" vertical="center" wrapText="1"/>
    </xf>
    <xf numFmtId="0" fontId="25" fillId="4" borderId="0" xfId="0" applyFont="1" applyFill="1" applyAlignment="1">
      <alignment vertical="top" wrapText="1"/>
    </xf>
    <xf numFmtId="0" fontId="25" fillId="12" borderId="0" xfId="0" applyFont="1" applyFill="1" applyAlignment="1">
      <alignment horizontal="center" vertical="top" wrapText="1"/>
    </xf>
    <xf numFmtId="0" fontId="14" fillId="0" borderId="9" xfId="0" applyFont="1" applyBorder="1" applyAlignment="1">
      <alignment horizontal="left" vertical="top" wrapText="1"/>
    </xf>
    <xf numFmtId="0" fontId="25" fillId="0" borderId="0" xfId="0" applyFont="1" applyAlignment="1">
      <alignment vertical="top" wrapText="1"/>
    </xf>
    <xf numFmtId="0" fontId="25" fillId="0" borderId="5" xfId="0" applyFont="1" applyBorder="1" applyAlignment="1">
      <alignment vertical="top" wrapText="1"/>
    </xf>
    <xf numFmtId="0" fontId="25" fillId="0" borderId="11" xfId="0" applyFont="1" applyBorder="1" applyAlignment="1">
      <alignment vertical="top" wrapText="1"/>
    </xf>
    <xf numFmtId="0" fontId="28" fillId="0" borderId="1" xfId="0" applyFont="1" applyBorder="1" applyAlignment="1">
      <alignment vertical="top" wrapText="1"/>
    </xf>
    <xf numFmtId="0" fontId="25" fillId="0" borderId="1" xfId="0" applyFont="1" applyBorder="1" applyAlignment="1">
      <alignment vertical="top" wrapText="1"/>
    </xf>
    <xf numFmtId="173" fontId="14" fillId="0" borderId="1" xfId="2" applyNumberFormat="1" applyFont="1" applyFill="1" applyBorder="1" applyAlignment="1">
      <alignment horizontal="right" vertical="top" wrapText="1"/>
    </xf>
    <xf numFmtId="173" fontId="25" fillId="4" borderId="0" xfId="0" applyNumberFormat="1" applyFont="1" applyFill="1" applyAlignment="1">
      <alignment vertical="top" wrapText="1"/>
    </xf>
    <xf numFmtId="0" fontId="25" fillId="4" borderId="0" xfId="0" applyFont="1" applyFill="1"/>
    <xf numFmtId="0" fontId="27" fillId="2" borderId="1" xfId="0" applyFont="1" applyFill="1" applyBorder="1" applyAlignment="1">
      <alignment horizontal="left" vertical="top" wrapText="1"/>
    </xf>
    <xf numFmtId="0" fontId="27" fillId="0" borderId="9" xfId="0" applyFont="1" applyBorder="1" applyAlignment="1">
      <alignment vertical="top" wrapText="1"/>
    </xf>
    <xf numFmtId="0" fontId="27" fillId="0" borderId="4" xfId="0" applyFont="1" applyBorder="1" applyAlignment="1">
      <alignment vertical="top" wrapText="1"/>
    </xf>
    <xf numFmtId="0" fontId="27" fillId="0" borderId="14" xfId="0" applyFont="1" applyBorder="1" applyAlignment="1">
      <alignment vertical="top" wrapText="1"/>
    </xf>
    <xf numFmtId="0" fontId="27" fillId="0" borderId="15" xfId="0" applyFont="1" applyBorder="1" applyAlignment="1">
      <alignment vertical="top" wrapText="1"/>
    </xf>
    <xf numFmtId="0" fontId="25" fillId="13" borderId="1" xfId="3" applyFont="1" applyFill="1" applyBorder="1" applyAlignment="1">
      <alignment horizontal="left" vertical="top" wrapText="1"/>
    </xf>
    <xf numFmtId="174" fontId="25" fillId="13" borderId="1" xfId="3" applyNumberFormat="1" applyFont="1" applyFill="1" applyBorder="1" applyAlignment="1">
      <alignment vertical="top" wrapText="1"/>
    </xf>
    <xf numFmtId="174" fontId="25" fillId="13" borderId="1" xfId="3" applyNumberFormat="1" applyFont="1" applyFill="1" applyBorder="1" applyAlignment="1">
      <alignment horizontal="center" vertical="center" wrapText="1"/>
    </xf>
    <xf numFmtId="0" fontId="27" fillId="6" borderId="0" xfId="0" applyFont="1" applyFill="1" applyAlignment="1">
      <alignment vertical="top" wrapText="1"/>
    </xf>
    <xf numFmtId="9" fontId="25" fillId="13" borderId="1" xfId="1" applyFont="1" applyFill="1" applyBorder="1" applyAlignment="1">
      <alignment horizontal="center" vertical="center" wrapText="1"/>
    </xf>
    <xf numFmtId="174" fontId="29" fillId="14" borderId="1" xfId="3" applyNumberFormat="1" applyFont="1" applyFill="1" applyBorder="1" applyAlignment="1">
      <alignment horizontal="center" vertical="center" wrapText="1"/>
    </xf>
    <xf numFmtId="174" fontId="30" fillId="14" borderId="1" xfId="3" applyNumberFormat="1" applyFont="1" applyFill="1" applyBorder="1" applyAlignment="1">
      <alignment horizontal="center" vertical="center" wrapText="1"/>
    </xf>
    <xf numFmtId="0" fontId="29" fillId="14" borderId="1" xfId="0" applyFont="1" applyFill="1" applyBorder="1" applyAlignment="1">
      <alignment horizontal="center" vertical="top" wrapText="1"/>
    </xf>
    <xf numFmtId="0" fontId="25" fillId="12" borderId="16" xfId="0" applyFont="1" applyFill="1" applyBorder="1" applyAlignment="1">
      <alignment horizontal="center" vertical="top" wrapText="1"/>
    </xf>
    <xf numFmtId="174" fontId="25" fillId="13" borderId="1" xfId="3" applyNumberFormat="1" applyFont="1" applyFill="1" applyBorder="1" applyAlignment="1">
      <alignment horizontal="left" vertical="center" wrapText="1"/>
    </xf>
    <xf numFmtId="0" fontId="26" fillId="6" borderId="1" xfId="0" applyFont="1" applyFill="1" applyBorder="1" applyAlignment="1">
      <alignment vertical="top" wrapText="1"/>
    </xf>
    <xf numFmtId="0" fontId="25" fillId="13" borderId="1" xfId="0" applyFont="1" applyFill="1" applyBorder="1" applyAlignment="1">
      <alignment vertical="top" wrapText="1"/>
    </xf>
    <xf numFmtId="173" fontId="18" fillId="16" borderId="1" xfId="0" applyNumberFormat="1" applyFont="1" applyFill="1" applyBorder="1" applyAlignment="1">
      <alignment vertical="top" wrapText="1"/>
    </xf>
    <xf numFmtId="0" fontId="25" fillId="7" borderId="1" xfId="0" applyFont="1" applyFill="1" applyBorder="1" applyAlignment="1">
      <alignment horizontal="center" vertical="top" wrapText="1"/>
    </xf>
    <xf numFmtId="0" fontId="25" fillId="17" borderId="1" xfId="0" applyFont="1" applyFill="1" applyBorder="1" applyAlignment="1">
      <alignment horizontal="center" vertical="top" wrapText="1"/>
    </xf>
    <xf numFmtId="0" fontId="25" fillId="8" borderId="1" xfId="0" applyFont="1" applyFill="1" applyBorder="1" applyAlignment="1">
      <alignment horizontal="center" vertical="top" wrapText="1"/>
    </xf>
    <xf numFmtId="9" fontId="25" fillId="4" borderId="0" xfId="0" applyNumberFormat="1" applyFont="1" applyFill="1" applyAlignment="1">
      <alignment vertical="top" wrapText="1"/>
    </xf>
    <xf numFmtId="0" fontId="26" fillId="0" borderId="0" xfId="0" applyFont="1" applyAlignment="1">
      <alignment vertical="top" wrapText="1"/>
    </xf>
    <xf numFmtId="0" fontId="25" fillId="13" borderId="0" xfId="0" applyFont="1" applyFill="1" applyAlignment="1">
      <alignment vertical="top" wrapText="1"/>
    </xf>
    <xf numFmtId="0" fontId="27" fillId="6" borderId="1" xfId="0" applyFont="1" applyFill="1" applyBorder="1" applyAlignment="1">
      <alignment vertical="top" wrapText="1"/>
    </xf>
    <xf numFmtId="0" fontId="27" fillId="6" borderId="3" xfId="0" applyFont="1" applyFill="1" applyBorder="1" applyAlignment="1">
      <alignment vertical="top" wrapText="1"/>
    </xf>
    <xf numFmtId="166" fontId="25" fillId="8" borderId="19" xfId="0" applyNumberFormat="1" applyFont="1" applyFill="1" applyBorder="1" applyAlignment="1">
      <alignment vertical="top" wrapText="1"/>
    </xf>
    <xf numFmtId="173" fontId="25" fillId="8" borderId="0" xfId="0" applyNumberFormat="1" applyFont="1" applyFill="1" applyAlignment="1">
      <alignment vertical="top" wrapText="1"/>
    </xf>
    <xf numFmtId="173" fontId="25" fillId="0" borderId="0" xfId="0" applyNumberFormat="1" applyFont="1" applyAlignment="1">
      <alignment vertical="top" wrapText="1"/>
    </xf>
    <xf numFmtId="0" fontId="25" fillId="13" borderId="18" xfId="0" applyFont="1" applyFill="1" applyBorder="1" applyAlignment="1">
      <alignment vertical="top" wrapText="1"/>
    </xf>
    <xf numFmtId="173" fontId="25" fillId="8" borderId="1" xfId="0" applyNumberFormat="1" applyFont="1" applyFill="1" applyBorder="1" applyAlignment="1">
      <alignment vertical="top" wrapText="1"/>
    </xf>
    <xf numFmtId="0" fontId="26" fillId="6" borderId="3" xfId="0" applyFont="1" applyFill="1" applyBorder="1" applyAlignment="1">
      <alignment vertical="top" wrapText="1"/>
    </xf>
    <xf numFmtId="0" fontId="25" fillId="18" borderId="13" xfId="0" applyFont="1" applyFill="1" applyBorder="1" applyAlignment="1">
      <alignment vertical="top" wrapText="1"/>
    </xf>
    <xf numFmtId="0" fontId="25" fillId="18" borderId="14" xfId="0" applyFont="1" applyFill="1" applyBorder="1" applyAlignment="1">
      <alignment vertical="top" wrapText="1"/>
    </xf>
    <xf numFmtId="0" fontId="25" fillId="4" borderId="11" xfId="0" applyFont="1" applyFill="1" applyBorder="1" applyAlignment="1">
      <alignment vertical="top" wrapText="1"/>
    </xf>
    <xf numFmtId="0" fontId="25" fillId="4" borderId="20" xfId="0" applyFont="1" applyFill="1" applyBorder="1" applyAlignment="1">
      <alignment vertical="top" wrapText="1"/>
    </xf>
    <xf numFmtId="0" fontId="25" fillId="4" borderId="21" xfId="0" applyFont="1" applyFill="1" applyBorder="1" applyAlignment="1">
      <alignment vertical="top" wrapText="1"/>
    </xf>
    <xf numFmtId="173" fontId="18" fillId="19" borderId="0" xfId="0" applyNumberFormat="1" applyFont="1" applyFill="1" applyAlignment="1">
      <alignment vertical="top" wrapText="1"/>
    </xf>
    <xf numFmtId="175" fontId="25" fillId="0" borderId="0" xfId="0" applyNumberFormat="1" applyFont="1" applyAlignment="1">
      <alignment vertical="top" wrapText="1"/>
    </xf>
    <xf numFmtId="0" fontId="25" fillId="20" borderId="1" xfId="0" applyFont="1" applyFill="1" applyBorder="1" applyAlignment="1">
      <alignment vertical="top" wrapText="1"/>
    </xf>
    <xf numFmtId="0" fontId="14" fillId="0" borderId="1" xfId="0" applyFont="1" applyBorder="1" applyAlignment="1">
      <alignment horizontal="left" vertical="top" wrapText="1"/>
    </xf>
    <xf numFmtId="0" fontId="33" fillId="6" borderId="1" xfId="0" applyFont="1" applyFill="1" applyBorder="1" applyAlignment="1">
      <alignment vertical="top" wrapText="1"/>
    </xf>
    <xf numFmtId="0" fontId="0" fillId="0" borderId="1" xfId="0" applyBorder="1"/>
    <xf numFmtId="175" fontId="0" fillId="0" borderId="1" xfId="0" applyNumberFormat="1" applyBorder="1"/>
    <xf numFmtId="173" fontId="0" fillId="0" borderId="1" xfId="0" applyNumberFormat="1" applyBorder="1"/>
    <xf numFmtId="0" fontId="33" fillId="6" borderId="1" xfId="0" applyFont="1" applyFill="1" applyBorder="1" applyAlignment="1">
      <alignment horizontal="left" vertical="top" wrapText="1"/>
    </xf>
    <xf numFmtId="175" fontId="33" fillId="6" borderId="1" xfId="0" applyNumberFormat="1" applyFont="1" applyFill="1" applyBorder="1" applyAlignment="1">
      <alignment vertical="top" wrapText="1"/>
    </xf>
    <xf numFmtId="173" fontId="33" fillId="6" borderId="1" xfId="0" applyNumberFormat="1" applyFont="1" applyFill="1" applyBorder="1" applyAlignment="1">
      <alignment vertical="top" wrapText="1"/>
    </xf>
    <xf numFmtId="0" fontId="0" fillId="0" borderId="1" xfId="0" applyBorder="1" applyAlignment="1">
      <alignment horizontal="left"/>
    </xf>
    <xf numFmtId="0" fontId="0" fillId="21" borderId="1" xfId="0" applyFill="1" applyBorder="1"/>
    <xf numFmtId="2" fontId="25" fillId="4" borderId="0" xfId="0" applyNumberFormat="1" applyFont="1" applyFill="1" applyAlignment="1">
      <alignment vertical="top" wrapText="1"/>
    </xf>
    <xf numFmtId="0" fontId="26" fillId="6" borderId="2" xfId="0" applyFont="1" applyFill="1" applyBorder="1" applyAlignment="1">
      <alignment vertical="top" wrapText="1"/>
    </xf>
    <xf numFmtId="173" fontId="25" fillId="13" borderId="22" xfId="0" applyNumberFormat="1" applyFont="1" applyFill="1" applyBorder="1" applyAlignment="1">
      <alignment vertical="top" wrapText="1"/>
    </xf>
    <xf numFmtId="173" fontId="25" fillId="13" borderId="2" xfId="0" applyNumberFormat="1" applyFont="1" applyFill="1" applyBorder="1" applyAlignment="1">
      <alignment vertical="top" wrapText="1"/>
    </xf>
    <xf numFmtId="173" fontId="25" fillId="13" borderId="23" xfId="0" applyNumberFormat="1" applyFont="1" applyFill="1" applyBorder="1" applyAlignment="1">
      <alignment vertical="top" wrapText="1"/>
    </xf>
    <xf numFmtId="175" fontId="25" fillId="13" borderId="0" xfId="0" applyNumberFormat="1" applyFont="1" applyFill="1" applyAlignment="1">
      <alignment vertical="top" wrapText="1"/>
    </xf>
    <xf numFmtId="0" fontId="25" fillId="4" borderId="0" xfId="0" applyFont="1" applyFill="1" applyAlignment="1">
      <alignment horizontal="centerContinuous" vertical="top" wrapText="1"/>
    </xf>
    <xf numFmtId="0" fontId="25" fillId="12" borderId="16" xfId="0" applyFont="1" applyFill="1" applyBorder="1" applyAlignment="1">
      <alignment horizontal="center" vertical="center" wrapText="1"/>
    </xf>
    <xf numFmtId="9" fontId="36" fillId="22" borderId="9" xfId="0" applyNumberFormat="1" applyFont="1" applyFill="1" applyBorder="1" applyAlignment="1">
      <alignment horizontal="center" vertical="center" wrapText="1"/>
    </xf>
    <xf numFmtId="0" fontId="36" fillId="18" borderId="0" xfId="0" applyFont="1" applyFill="1" applyAlignment="1">
      <alignment horizontal="center" vertical="center" wrapText="1"/>
    </xf>
    <xf numFmtId="0" fontId="27" fillId="6" borderId="0" xfId="0" applyFont="1" applyFill="1" applyAlignment="1">
      <alignment horizontal="center" vertical="top" wrapText="1"/>
    </xf>
    <xf numFmtId="0" fontId="2" fillId="5" borderId="7" xfId="3" applyFont="1" applyFill="1" applyBorder="1" applyAlignment="1">
      <alignment horizontal="center" vertical="center" wrapText="1"/>
    </xf>
    <xf numFmtId="0" fontId="2" fillId="0" borderId="0" xfId="3" applyFont="1" applyAlignment="1">
      <alignment horizontal="left" vertical="top"/>
    </xf>
    <xf numFmtId="0" fontId="2" fillId="0" borderId="0" xfId="3" applyFont="1" applyAlignment="1">
      <alignment vertical="top" wrapText="1"/>
    </xf>
    <xf numFmtId="0" fontId="2" fillId="0" borderId="6" xfId="3" applyFont="1" applyBorder="1" applyAlignment="1">
      <alignment horizontal="left" vertical="top" wrapText="1"/>
    </xf>
    <xf numFmtId="0" fontId="2" fillId="0" borderId="0" xfId="3" applyFont="1" applyAlignment="1">
      <alignment vertical="top"/>
    </xf>
    <xf numFmtId="0" fontId="2" fillId="0" borderId="0" xfId="3" applyFont="1"/>
    <xf numFmtId="0" fontId="2" fillId="0" borderId="0" xfId="3" applyFont="1" applyAlignment="1">
      <alignment horizontal="left" vertical="top" wrapText="1"/>
    </xf>
    <xf numFmtId="0" fontId="14" fillId="23" borderId="24" xfId="0" applyFont="1" applyFill="1" applyBorder="1" applyAlignment="1">
      <alignment horizontal="center" vertical="top" wrapText="1"/>
    </xf>
    <xf numFmtId="0" fontId="14" fillId="24" borderId="24" xfId="0" applyFont="1" applyFill="1" applyBorder="1" applyAlignment="1">
      <alignment horizontal="left" vertical="top" wrapText="1" indent="1"/>
    </xf>
    <xf numFmtId="0" fontId="21" fillId="10" borderId="2" xfId="0" applyFont="1" applyFill="1" applyBorder="1" applyAlignment="1">
      <alignment horizontal="left"/>
    </xf>
    <xf numFmtId="0" fontId="21" fillId="10" borderId="5" xfId="0" applyFont="1" applyFill="1" applyBorder="1" applyAlignment="1">
      <alignment horizontal="left"/>
    </xf>
    <xf numFmtId="0" fontId="21" fillId="10" borderId="3" xfId="0" applyFont="1" applyFill="1" applyBorder="1" applyAlignment="1">
      <alignment horizontal="left"/>
    </xf>
    <xf numFmtId="0" fontId="2" fillId="0" borderId="2"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left" vertical="center" wrapText="1"/>
    </xf>
    <xf numFmtId="0" fontId="2" fillId="0" borderId="10" xfId="0" applyFont="1"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8" xfId="0" applyBorder="1" applyAlignment="1">
      <alignment horizontal="left"/>
    </xf>
    <xf numFmtId="0" fontId="0" fillId="0" borderId="0" xfId="0" applyAlignment="1">
      <alignment horizontal="left"/>
    </xf>
    <xf numFmtId="0" fontId="0" fillId="0" borderId="13" xfId="0" applyBorder="1" applyAlignment="1">
      <alignment horizontal="left"/>
    </xf>
    <xf numFmtId="0" fontId="0" fillId="0" borderId="15" xfId="0" applyBorder="1" applyAlignment="1">
      <alignment horizontal="left"/>
    </xf>
    <xf numFmtId="0" fontId="0" fillId="0" borderId="9" xfId="0" applyBorder="1" applyAlignment="1">
      <alignment horizontal="left"/>
    </xf>
    <xf numFmtId="0" fontId="0" fillId="0" borderId="14" xfId="0" applyBorder="1" applyAlignment="1">
      <alignment horizontal="left"/>
    </xf>
    <xf numFmtId="0" fontId="8" fillId="0" borderId="0" xfId="0" applyFont="1" applyAlignment="1">
      <alignment horizontal="left" vertical="center" wrapText="1"/>
    </xf>
    <xf numFmtId="0" fontId="9" fillId="0" borderId="0" xfId="0" applyFont="1" applyAlignment="1">
      <alignment horizontal="center" vertical="center"/>
    </xf>
    <xf numFmtId="1" fontId="16" fillId="4" borderId="2" xfId="0" applyNumberFormat="1" applyFont="1" applyFill="1" applyBorder="1" applyAlignment="1">
      <alignment horizontal="center" vertical="center" wrapText="1"/>
    </xf>
    <xf numFmtId="1" fontId="16" fillId="4" borderId="3" xfId="0" applyNumberFormat="1" applyFont="1" applyFill="1" applyBorder="1" applyAlignment="1">
      <alignment horizontal="center" vertical="center" wrapText="1"/>
    </xf>
    <xf numFmtId="166" fontId="15" fillId="4" borderId="0" xfId="0" applyNumberFormat="1" applyFont="1" applyFill="1" applyAlignment="1">
      <alignment horizontal="righ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xf>
    <xf numFmtId="0" fontId="8" fillId="0" borderId="3" xfId="0" applyFont="1" applyBorder="1" applyAlignment="1">
      <alignment horizontal="left" vertical="center"/>
    </xf>
    <xf numFmtId="0" fontId="7" fillId="3" borderId="2"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3" xfId="0" applyFont="1" applyFill="1" applyBorder="1" applyAlignment="1">
      <alignment horizontal="center" vertical="center"/>
    </xf>
    <xf numFmtId="0" fontId="0" fillId="7" borderId="2" xfId="0" applyFill="1" applyBorder="1" applyAlignment="1">
      <alignment horizontal="center" vertical="top" wrapText="1"/>
    </xf>
    <xf numFmtId="0" fontId="0" fillId="7" borderId="5" xfId="0" applyFill="1" applyBorder="1" applyAlignment="1">
      <alignment horizontal="center" vertical="top" wrapText="1"/>
    </xf>
    <xf numFmtId="0" fontId="0" fillId="7" borderId="3" xfId="0" applyFill="1" applyBorder="1" applyAlignment="1">
      <alignment horizontal="center" vertical="top" wrapText="1"/>
    </xf>
    <xf numFmtId="0" fontId="7" fillId="0" borderId="0" xfId="0" applyFont="1" applyAlignment="1">
      <alignment horizontal="center"/>
    </xf>
    <xf numFmtId="0" fontId="31" fillId="15" borderId="2" xfId="3" applyFont="1" applyFill="1" applyBorder="1" applyAlignment="1">
      <alignment horizontal="center" vertical="center" wrapText="1"/>
    </xf>
    <xf numFmtId="0" fontId="31" fillId="15" borderId="3" xfId="3" applyFont="1" applyFill="1" applyBorder="1" applyAlignment="1">
      <alignment horizontal="center" vertical="center" wrapText="1"/>
    </xf>
    <xf numFmtId="0" fontId="24" fillId="11" borderId="2" xfId="9" applyBorder="1" applyAlignment="1">
      <alignment horizontal="center" vertical="center" wrapText="1"/>
    </xf>
    <xf numFmtId="0" fontId="24" fillId="11" borderId="3" xfId="9" applyBorder="1" applyAlignment="1">
      <alignment horizontal="center" vertical="center" wrapText="1"/>
    </xf>
    <xf numFmtId="0" fontId="31" fillId="15" borderId="1" xfId="3" applyFont="1" applyFill="1" applyBorder="1" applyAlignment="1">
      <alignment horizontal="center" vertical="center" wrapText="1"/>
    </xf>
    <xf numFmtId="0" fontId="17" fillId="16" borderId="4" xfId="0" applyFont="1" applyFill="1" applyBorder="1" applyAlignment="1">
      <alignment horizontal="left" vertical="top" wrapText="1"/>
    </xf>
    <xf numFmtId="0" fontId="17" fillId="19" borderId="0" xfId="0" applyFont="1" applyFill="1" applyAlignment="1">
      <alignment horizontal="left" vertical="top" wrapText="1"/>
    </xf>
    <xf numFmtId="0" fontId="17" fillId="16" borderId="1" xfId="0" applyFont="1" applyFill="1" applyBorder="1" applyAlignment="1">
      <alignment horizontal="left" vertical="top" wrapText="1"/>
    </xf>
    <xf numFmtId="0" fontId="19" fillId="4" borderId="1" xfId="0" applyFont="1" applyFill="1" applyBorder="1" applyAlignment="1">
      <alignment horizontal="left" vertical="top" wrapText="1"/>
    </xf>
    <xf numFmtId="0" fontId="32" fillId="15" borderId="0" xfId="0" applyFont="1" applyFill="1" applyAlignment="1">
      <alignment horizontal="center" vertical="top" wrapText="1"/>
    </xf>
    <xf numFmtId="0" fontId="25" fillId="4" borderId="1" xfId="0" applyFont="1" applyFill="1" applyBorder="1" applyAlignment="1">
      <alignment horizontal="left" vertical="top" wrapText="1"/>
    </xf>
    <xf numFmtId="0" fontId="26" fillId="6" borderId="1" xfId="0" applyFont="1" applyFill="1" applyBorder="1" applyAlignment="1">
      <alignment horizontal="left" vertical="top" wrapText="1"/>
    </xf>
    <xf numFmtId="9" fontId="25" fillId="13" borderId="2" xfId="1" applyFont="1" applyFill="1" applyBorder="1" applyAlignment="1">
      <alignment horizontal="center" vertical="top" wrapText="1"/>
    </xf>
    <xf numFmtId="9" fontId="25" fillId="13" borderId="3" xfId="1" applyFont="1" applyFill="1" applyBorder="1" applyAlignment="1">
      <alignment horizontal="center" vertical="top" wrapText="1"/>
    </xf>
    <xf numFmtId="0" fontId="32" fillId="15" borderId="0" xfId="0" applyFont="1" applyFill="1" applyAlignment="1">
      <alignment horizontal="left" vertical="top" wrapText="1"/>
    </xf>
    <xf numFmtId="0" fontId="25" fillId="18" borderId="10" xfId="0" applyFont="1" applyFill="1" applyBorder="1" applyAlignment="1">
      <alignment horizontal="center" vertical="center" wrapText="1"/>
    </xf>
    <xf numFmtId="0" fontId="25" fillId="18" borderId="11" xfId="0" applyFont="1" applyFill="1" applyBorder="1" applyAlignment="1">
      <alignment horizontal="center" vertical="center" wrapText="1"/>
    </xf>
    <xf numFmtId="0" fontId="25" fillId="18" borderId="12" xfId="0" applyFont="1" applyFill="1" applyBorder="1" applyAlignment="1">
      <alignment horizontal="center" vertical="center" wrapText="1"/>
    </xf>
    <xf numFmtId="0" fontId="25" fillId="18" borderId="15" xfId="0" applyFont="1" applyFill="1" applyBorder="1" applyAlignment="1">
      <alignment horizontal="center" vertical="center" wrapText="1"/>
    </xf>
    <xf numFmtId="0" fontId="25" fillId="18" borderId="9" xfId="0" applyFont="1" applyFill="1" applyBorder="1" applyAlignment="1">
      <alignment horizontal="center" vertical="center" wrapText="1"/>
    </xf>
    <xf numFmtId="0" fontId="25" fillId="18" borderId="14" xfId="0" applyFont="1" applyFill="1" applyBorder="1" applyAlignment="1">
      <alignment horizontal="center" vertical="center" wrapText="1"/>
    </xf>
    <xf numFmtId="0" fontId="25" fillId="18" borderId="10" xfId="0" applyFont="1" applyFill="1" applyBorder="1" applyAlignment="1">
      <alignment horizontal="left" vertical="top" wrapText="1"/>
    </xf>
    <xf numFmtId="0" fontId="25" fillId="18" borderId="12" xfId="0" applyFont="1" applyFill="1" applyBorder="1" applyAlignment="1">
      <alignment horizontal="left" vertical="top" wrapText="1"/>
    </xf>
    <xf numFmtId="0" fontId="25" fillId="18" borderId="8" xfId="0" applyFont="1" applyFill="1" applyBorder="1" applyAlignment="1">
      <alignment horizontal="left" vertical="top" wrapText="1"/>
    </xf>
    <xf numFmtId="0" fontId="25" fillId="18" borderId="13" xfId="0" applyFont="1" applyFill="1" applyBorder="1" applyAlignment="1">
      <alignment horizontal="left" vertical="top" wrapText="1"/>
    </xf>
    <xf numFmtId="0" fontId="25" fillId="18" borderId="15" xfId="0" applyFont="1" applyFill="1" applyBorder="1" applyAlignment="1">
      <alignment horizontal="left" vertical="top" wrapText="1"/>
    </xf>
    <xf numFmtId="0" fontId="25" fillId="18" borderId="14" xfId="0" applyFont="1" applyFill="1" applyBorder="1" applyAlignment="1">
      <alignment horizontal="left" vertical="top" wrapText="1"/>
    </xf>
    <xf numFmtId="0" fontId="37" fillId="18" borderId="2" xfId="0" applyFont="1" applyFill="1" applyBorder="1" applyAlignment="1">
      <alignment horizontal="left" vertical="top" wrapText="1"/>
    </xf>
    <xf numFmtId="0" fontId="37" fillId="18" borderId="5" xfId="0" applyFont="1" applyFill="1" applyBorder="1" applyAlignment="1">
      <alignment horizontal="left" vertical="top" wrapText="1"/>
    </xf>
    <xf numFmtId="0" fontId="37" fillId="18" borderId="3" xfId="0" applyFont="1" applyFill="1" applyBorder="1" applyAlignment="1">
      <alignment horizontal="left" vertical="top" wrapText="1"/>
    </xf>
    <xf numFmtId="0" fontId="35" fillId="4" borderId="0" xfId="0" applyFont="1" applyFill="1" applyAlignment="1">
      <alignment horizontal="center" vertical="center" wrapText="1"/>
    </xf>
    <xf numFmtId="0" fontId="17" fillId="16" borderId="15" xfId="0" applyFont="1" applyFill="1" applyBorder="1" applyAlignment="1">
      <alignment horizontal="left" vertical="top" wrapText="1"/>
    </xf>
    <xf numFmtId="0" fontId="25" fillId="13" borderId="10" xfId="0" applyFont="1" applyFill="1" applyBorder="1" applyAlignment="1">
      <alignment horizontal="left" vertical="top" wrapText="1"/>
    </xf>
    <xf numFmtId="0" fontId="25" fillId="13" borderId="11" xfId="0" applyFont="1" applyFill="1" applyBorder="1" applyAlignment="1">
      <alignment horizontal="left" vertical="top" wrapText="1"/>
    </xf>
    <xf numFmtId="0" fontId="25" fillId="13" borderId="17" xfId="0" applyFont="1" applyFill="1" applyBorder="1" applyAlignment="1">
      <alignment horizontal="left" vertical="top" wrapText="1"/>
    </xf>
    <xf numFmtId="0" fontId="25" fillId="13" borderId="1" xfId="0" applyFont="1" applyFill="1" applyBorder="1" applyAlignment="1">
      <alignment horizontal="left" vertical="top" wrapText="1"/>
    </xf>
    <xf numFmtId="0" fontId="26" fillId="6" borderId="2" xfId="0" applyFont="1" applyFill="1" applyBorder="1" applyAlignment="1">
      <alignment horizontal="left" vertical="top" wrapText="1"/>
    </xf>
    <xf numFmtId="0" fontId="26" fillId="6" borderId="5" xfId="0" applyFont="1" applyFill="1" applyBorder="1" applyAlignment="1">
      <alignment horizontal="left" vertical="top" wrapText="1"/>
    </xf>
    <xf numFmtId="0" fontId="26" fillId="6" borderId="3" xfId="0" applyFont="1" applyFill="1" applyBorder="1" applyAlignment="1">
      <alignment horizontal="left" vertical="top" wrapText="1"/>
    </xf>
    <xf numFmtId="0" fontId="25" fillId="13" borderId="2" xfId="0" applyFont="1" applyFill="1" applyBorder="1" applyAlignment="1">
      <alignment vertical="top" wrapText="1"/>
    </xf>
    <xf numFmtId="0" fontId="25" fillId="13" borderId="5" xfId="0" applyFont="1" applyFill="1" applyBorder="1" applyAlignment="1">
      <alignment vertical="top" wrapText="1"/>
    </xf>
    <xf numFmtId="0" fontId="25" fillId="13" borderId="3" xfId="0" applyFont="1" applyFill="1" applyBorder="1" applyAlignment="1">
      <alignment vertical="top" wrapText="1"/>
    </xf>
    <xf numFmtId="0" fontId="34" fillId="15" borderId="1" xfId="3" applyFont="1" applyFill="1" applyBorder="1" applyAlignment="1">
      <alignment horizontal="center" vertical="center" wrapText="1"/>
    </xf>
    <xf numFmtId="0" fontId="27" fillId="7" borderId="10" xfId="0" applyFont="1" applyFill="1" applyBorder="1" applyAlignment="1">
      <alignment horizontal="center" vertical="top" wrapText="1"/>
    </xf>
    <xf numFmtId="0" fontId="27" fillId="7" borderId="8" xfId="0" applyFont="1" applyFill="1" applyBorder="1" applyAlignment="1">
      <alignment horizontal="center" vertical="top" wrapText="1"/>
    </xf>
    <xf numFmtId="0" fontId="14" fillId="24" borderId="24" xfId="0" applyFont="1" applyFill="1" applyBorder="1" applyAlignment="1">
      <alignment vertical="top"/>
    </xf>
    <xf numFmtId="0" fontId="14" fillId="24" borderId="24" xfId="0" applyFont="1" applyFill="1" applyBorder="1" applyAlignment="1"/>
  </cellXfs>
  <cellStyles count="10">
    <cellStyle name="Comma 2" xfId="8" xr:uid="{6C9320F8-2F71-4559-BA6C-4D088794AED9}"/>
    <cellStyle name="Currency" xfId="2" builtinId="4"/>
    <cellStyle name="Neutral" xfId="9" builtinId="28"/>
    <cellStyle name="Normal" xfId="0" builtinId="0"/>
    <cellStyle name="Normal 2" xfId="3" xr:uid="{00000000-0005-0000-0000-000003000000}"/>
    <cellStyle name="Normal 2 2" xfId="6" xr:uid="{00000000-0005-0000-0000-000004000000}"/>
    <cellStyle name="Normal 3" xfId="4" xr:uid="{00000000-0005-0000-0000-000005000000}"/>
    <cellStyle name="Normal 3 2" xfId="7" xr:uid="{00000000-0005-0000-0000-000006000000}"/>
    <cellStyle name="Percent" xfId="1" builtinId="5"/>
    <cellStyle name="Денежный 2" xfId="5" xr:uid="{00000000-0005-0000-0000-000008000000}"/>
  </cellStyles>
  <dxfs count="84">
    <dxf>
      <numFmt numFmtId="175" formatCode="0&quot; hours&quot;"/>
    </dxf>
    <dxf>
      <font>
        <b/>
        <sz val="10"/>
      </font>
      <fill>
        <patternFill patternType="solid">
          <fgColor indexed="64"/>
          <bgColor theme="4" tint="0.59999389629810485"/>
        </patternFill>
      </fill>
      <alignment vertical="top" wrapText="1"/>
    </dxf>
    <dxf>
      <font>
        <b/>
        <sz val="10"/>
      </font>
      <fill>
        <patternFill patternType="solid">
          <fgColor indexed="64"/>
          <bgColor theme="4" tint="0.59999389629810485"/>
        </patternFill>
      </fill>
      <alignment vertical="top" wrapText="1"/>
    </dxf>
    <dxf>
      <numFmt numFmtId="173" formatCode="_-[$$-409]* #,##0_ ;_-[$$-409]* \-#,##0\ ;_-[$$-409]* &quot;-&quot;??_ ;_-@_ "/>
    </dxf>
    <dxf>
      <numFmt numFmtId="175" formatCode="0&quot; hours&quot;"/>
    </dxf>
    <dxf>
      <numFmt numFmtId="173" formatCode="_-[$$-409]* #,##0_ ;_-[$$-409]* \-#,##0\ ;_-[$$-409]* &quot;-&quot;??_ ;_-@_ "/>
    </dxf>
    <dxf>
      <font>
        <b/>
        <sz val="10"/>
      </font>
      <fill>
        <patternFill patternType="solid">
          <fgColor indexed="64"/>
          <bgColor theme="4" tint="0.59999389629810485"/>
        </patternFill>
      </fill>
      <alignment vertical="top" wrapText="1"/>
    </dxf>
    <dxf>
      <font>
        <b/>
        <sz val="10"/>
      </font>
      <fill>
        <patternFill patternType="solid">
          <fgColor indexed="64"/>
          <bgColor theme="4" tint="0.59999389629810485"/>
        </patternFill>
      </fill>
      <alignment vertical="top" wrapText="1"/>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bgColor rgb="FFFFFF00"/>
        </patternFill>
      </fill>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3" formatCode="_-[$$-409]* #,##0_ ;_-[$$-409]* \-#,##0\ ;_-[$$-409]* &quot;-&quot;??_ ;_-@_ "/>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3" formatCode="_-[$$-409]* #,##0_ ;_-[$$-409]* \-#,##0\ ;_-[$$-409]* &quot;-&quot;??_ ;_-@_ "/>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5" formatCode="0&quot; hours&quo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b/>
        <sz val="10"/>
      </font>
      <fill>
        <patternFill patternType="solid">
          <fgColor indexed="64"/>
          <bgColor theme="4" tint="0.59999389629810485"/>
        </patternFill>
      </fill>
      <alignment vertical="top" wrapText="1"/>
    </dxf>
    <dxf>
      <font>
        <b/>
        <sz val="10"/>
      </font>
      <fill>
        <patternFill patternType="solid">
          <fgColor indexed="64"/>
          <bgColor theme="4" tint="0.59999389629810485"/>
        </patternFill>
      </fill>
      <alignment vertical="top" wrapText="1"/>
    </dxf>
    <dxf>
      <numFmt numFmtId="173" formatCode="_-[$$-409]* #,##0_ ;_-[$$-409]* \-#,##0\ ;_-[$$-409]* &quot;-&quot;??_ ;_-@_ "/>
    </dxf>
    <dxf>
      <numFmt numFmtId="175" formatCode="0&quot; hours&quot;"/>
    </dxf>
    <dxf>
      <numFmt numFmtId="173" formatCode="_-[$$-409]* #,##0_ ;_-[$$-409]* \-#,##0\ ;_-[$$-409]* &quot;-&quot;??_ ;_-@_ "/>
    </dxf>
    <dxf>
      <font>
        <b/>
        <sz val="10"/>
      </font>
      <fill>
        <patternFill patternType="solid">
          <fgColor indexed="64"/>
          <bgColor theme="4" tint="0.59999389629810485"/>
        </patternFill>
      </fill>
      <alignment vertical="top" wrapText="1"/>
    </dxf>
    <dxf>
      <font>
        <b/>
        <sz val="10"/>
      </font>
      <fill>
        <patternFill patternType="solid">
          <fgColor indexed="64"/>
          <bgColor theme="4" tint="0.59999389629810485"/>
        </patternFill>
      </fill>
      <alignment vertical="top" wrapText="1"/>
    </dxf>
    <dxf>
      <numFmt numFmtId="175" formatCode="0&quot; hours&quot;"/>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0"/>
        </patternFill>
      </fill>
      <alignment horizontal="centerContinuous"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3" formatCode="_-[$$-409]* #,##0_ ;_-[$$-409]* \-#,##0\ ;_-[$$-409]* &quot;-&quot;??_ ;_-@_ "/>
      <fill>
        <patternFill patternType="solid">
          <fgColor indexed="64"/>
          <bgColor theme="0"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3" formatCode="_-[$$-409]* #,##0_ ;_-[$$-409]* \-#,##0\ ;_-[$$-409]* &quot;-&quot;??_ ;_-@_ "/>
      <fill>
        <patternFill patternType="solid">
          <fgColor indexed="64"/>
          <bgColor theme="0"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5" formatCode="0&quot; hours&quo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73" formatCode="_-[$$-409]* #,##0_ ;_-[$$-409]* \-#,##0\ ;_-[$$-409]* &quot;-&quot;??_ ;_-@_ "/>
      <fill>
        <patternFill patternType="solid">
          <fgColor indexed="64"/>
          <bgColor theme="0"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2"/>
        </patternFill>
      </fill>
      <alignment horizontal="center" vertical="top"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centerContinuous" vertical="top" textRotation="0" wrapText="1" indent="0" justifyLastLine="0" shrinkToFit="0" readingOrder="0"/>
    </dxf>
    <dxf>
      <font>
        <b/>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border>
        <bottom style="thin">
          <color indexed="64"/>
        </bottom>
      </border>
    </dxf>
    <dxf>
      <font>
        <b/>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rgb="FF000000"/>
        <name val="Calibri"/>
        <family val="2"/>
        <scheme val="minor"/>
      </font>
      <numFmt numFmtId="173" formatCode="_-[$$-409]* #,##0_ ;_-[$$-409]* \-#,##0\ ;_-[$$-409]* &quot;-&quot;??_ ;_-@_ "/>
      <fill>
        <patternFill patternType="none">
          <fgColor indexed="64"/>
          <bgColor indexed="65"/>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0"/>
        <color rgb="FF000000"/>
        <name val="Calibri"/>
        <family val="2"/>
        <scheme val="minor"/>
      </font>
      <numFmt numFmtId="173" formatCode="_-[$$-409]* #,##0_ ;_-[$$-409]* \-#,##0\ ;_-[$$-409]* &quot;-&quot;??_ ;_-@_ "/>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fill>
        <patternFill patternType="none">
          <fgColor theme="4" tint="0.79998168889431442"/>
          <bgColor auto="1"/>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theme="4" tint="0.79998168889431442"/>
          <bgColor auto="1"/>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fill>
        <patternFill patternType="none">
          <bgColor auto="1"/>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fill>
        <patternFill patternType="none">
          <bgColor auto="1"/>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0"/>
        <color theme="1"/>
        <name val="Calibri"/>
        <family val="2"/>
        <scheme val="minor"/>
      </font>
      <fill>
        <patternFill patternType="none">
          <bgColor auto="1"/>
        </patternFill>
      </fill>
      <alignmen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0"/>
        <color rgb="FF000000"/>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CC"/>
      <color rgb="FFF8EE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Sarwen" refreshedDate="46246.445227199074" createdVersion="6" refreshedVersion="8" minRefreshableVersion="3" recordCount="16" xr:uid="{ECDC84BB-A343-44FE-8919-971EA1189B91}">
  <cacheSource type="worksheet">
    <worksheetSource name="Table_SOW"/>
  </cacheSource>
  <cacheFields count="9">
    <cacheField name="#" numFmtId="0">
      <sharedItems containsString="0" containsBlank="1" containsNumber="1" containsInteger="1" minValue="1" maxValue="13"/>
    </cacheField>
    <cacheField name="Project implementation tasks" numFmtId="0">
      <sharedItems containsBlank="1"/>
    </cacheField>
    <cacheField name="Resource country" numFmtId="0">
      <sharedItems containsBlank="1"/>
    </cacheField>
    <cacheField name="Resource role" numFmtId="0">
      <sharedItems containsBlank="1"/>
    </cacheField>
    <cacheField name="Rate, USD" numFmtId="173">
      <sharedItems containsMixedTypes="1" containsNumber="1" containsInteger="1" minValue="22" maxValue="22"/>
    </cacheField>
    <cacheField name="Estimated hours" numFmtId="175">
      <sharedItems containsString="0" containsBlank="1" containsNumber="1" containsInteger="1" minValue="4" maxValue="16"/>
    </cacheField>
    <cacheField name="Cost, USD" numFmtId="173">
      <sharedItems containsMixedTypes="1" containsNumber="1" containsInteger="1" minValue="88" maxValue="352"/>
    </cacheField>
    <cacheField name="Revenue, USD" numFmtId="173">
      <sharedItems containsMixedTypes="1" containsNumber="1" minValue="125.71428571428572" maxValue="502.85714285714289"/>
    </cacheField>
    <cacheField name="Resource Full Name" numFmtId="0">
      <sharedItems count="17">
        <s v="Malaysia Engineer"/>
        <s v=" "/>
        <s v="Colombia Engineer" u="1"/>
        <s v="Peru Engineer" u="1"/>
        <s v="Chile Architect" u="1"/>
        <s v="Colombia Senior engineer" u="1"/>
        <s v="India Engineer" u="1"/>
        <s v="Malaysia Architect" u="1"/>
        <s v="Bulgaria Architect" u="1"/>
        <s v="Hungary Engineer" u="1"/>
        <s v="Brazil Engineer" u="1"/>
        <s v="Vietnam Engineer" u="1"/>
        <s v="Chile Engineer" u="1"/>
        <s v="Costa_Rica Senior engineer" u="1"/>
        <s v="Malaysia Senior engineer" u="1"/>
        <s v="Customer Customer engineer" u="1"/>
        <s v="Colombia Project manager"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
    <s v="Requirements &amp; Sample Data Alignment"/>
    <s v="Malaysia"/>
    <s v="Engineer"/>
    <n v="22"/>
    <n v="4"/>
    <n v="88"/>
    <n v="125.71428571428572"/>
    <x v="0"/>
  </r>
  <r>
    <n v="2"/>
    <s v="Azure AI Infrastructure Provisioning"/>
    <s v="Malaysia"/>
    <s v="Engineer"/>
    <n v="22"/>
    <n v="4"/>
    <n v="88"/>
    <n v="125.71428571428572"/>
    <x v="0"/>
  </r>
  <r>
    <n v="3"/>
    <s v="M365 &amp; Power Platform Environment Setup"/>
    <s v="Malaysia"/>
    <s v="Engineer"/>
    <n v="22"/>
    <n v="8"/>
    <n v="176"/>
    <n v="251.42857142857144"/>
    <x v="0"/>
  </r>
  <r>
    <n v="4"/>
    <s v="Dataverse Schema &amp; Mock Ledgers"/>
    <s v="Malaysia"/>
    <s v="Engineer"/>
    <n v="22"/>
    <n v="8"/>
    <n v="176"/>
    <n v="251.42857142857144"/>
    <x v="0"/>
  </r>
  <r>
    <n v="5"/>
    <s v="OCR Model Calibration"/>
    <s v="Malaysia"/>
    <s v="Engineer"/>
    <n v="22"/>
    <n v="8"/>
    <n v="176"/>
    <n v="251.42857142857144"/>
    <x v="0"/>
  </r>
  <r>
    <n v="6"/>
    <s v="GPT-4o Vision Prompt Engineering"/>
    <s v="Malaysia"/>
    <s v="Engineer"/>
    <n v="22"/>
    <n v="8"/>
    <n v="176"/>
    <n v="251.42857142857144"/>
    <x v="0"/>
  </r>
  <r>
    <n v="7"/>
    <s v="Process 1 Power Automate Workflows - Build RFP Ingestion"/>
    <s v="Malaysia"/>
    <s v="Engineer"/>
    <n v="22"/>
    <n v="12"/>
    <n v="264"/>
    <n v="377.14285714285717"/>
    <x v="0"/>
  </r>
  <r>
    <n v="8"/>
    <s v="Process 2 Power Automate Workflows - Build Document Intelligence"/>
    <s v="Malaysia"/>
    <s v="Engineer"/>
    <n v="22"/>
    <n v="12"/>
    <n v="264"/>
    <n v="377.14285714285717"/>
    <x v="0"/>
  </r>
  <r>
    <n v="9"/>
    <s v="Teams Adaptive Cards (v1.5) Development"/>
    <s v="Malaysia"/>
    <s v="Engineer"/>
    <n v="22"/>
    <n v="8"/>
    <n v="176"/>
    <n v="251.42857142857144"/>
    <x v="0"/>
  </r>
  <r>
    <n v="10"/>
    <s v="Copilot Studio Agent Orchestration"/>
    <s v="Malaysia"/>
    <s v="Engineer"/>
    <n v="22"/>
    <n v="16"/>
    <n v="352"/>
    <n v="502.85714285714289"/>
    <x v="0"/>
  </r>
  <r>
    <n v="11"/>
    <s v="End-to-End System Testing &amp; Tuning"/>
    <s v="Malaysia"/>
    <s v="Engineer"/>
    <n v="22"/>
    <n v="8"/>
    <n v="176"/>
    <n v="251.42857142857144"/>
    <x v="0"/>
  </r>
  <r>
    <n v="12"/>
    <s v="Strategy &amp; Assessment Collateral"/>
    <s v="Malaysia"/>
    <s v="Engineer"/>
    <n v="22"/>
    <n v="4"/>
    <n v="88"/>
    <n v="125.71428571428572"/>
    <x v="0"/>
  </r>
  <r>
    <n v="13"/>
    <s v="Internal Freeze, Video Recording &amp; Executive Dry Run"/>
    <s v="Malaysia"/>
    <s v="Engineer"/>
    <n v="22"/>
    <n v="8"/>
    <n v="176"/>
    <n v="251.42857142857144"/>
    <x v="0"/>
  </r>
  <r>
    <m/>
    <m/>
    <m/>
    <m/>
    <s v="n/a"/>
    <m/>
    <s v="Check role"/>
    <s v="Check role"/>
    <x v="1"/>
  </r>
  <r>
    <m/>
    <m/>
    <m/>
    <m/>
    <s v="n/a"/>
    <m/>
    <s v="Check role"/>
    <s v="Check role"/>
    <x v="1"/>
  </r>
  <r>
    <m/>
    <m/>
    <m/>
    <m/>
    <s v="n/a"/>
    <m/>
    <s v="Check role"/>
    <s v="Check rol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64E7C3-A3CF-41D7-B7C9-CD09CD4151A5}" name="PivotTable2" cacheId="5" applyNumberFormats="0" applyBorderFormats="0" applyFontFormats="0" applyPatternFormats="0" applyAlignmentFormats="0" applyWidthHeightFormats="1" dataCaption="Values" grandTotalCaption="Total" updatedVersion="8" minRefreshableVersion="3" useAutoFormatting="1" itemPrintTitles="1" createdVersion="6" indent="0" outline="1" outlineData="1" multipleFieldFilters="0" rowHeaderCaption="Role">
  <location ref="A8:C11" firstHeaderRow="0" firstDataRow="1" firstDataCol="1"/>
  <pivotFields count="9">
    <pivotField showAll="0"/>
    <pivotField showAll="0"/>
    <pivotField showAll="0"/>
    <pivotField showAll="0"/>
    <pivotField showAll="0"/>
    <pivotField dataField="1" showAll="0"/>
    <pivotField dataField="1" showAll="0"/>
    <pivotField showAll="0"/>
    <pivotField axis="axisRow" showAll="0">
      <items count="18">
        <item x="1"/>
        <item m="1" x="10"/>
        <item m="1" x="8"/>
        <item m="1" x="12"/>
        <item m="1" x="9"/>
        <item m="1" x="6"/>
        <item m="1" x="11"/>
        <item m="1" x="13"/>
        <item m="1" x="16"/>
        <item x="0"/>
        <item m="1" x="7"/>
        <item m="1" x="14"/>
        <item m="1" x="15"/>
        <item m="1" x="4"/>
        <item m="1" x="2"/>
        <item m="1" x="5"/>
        <item m="1" x="3"/>
        <item t="default"/>
      </items>
    </pivotField>
  </pivotFields>
  <rowFields count="1">
    <field x="8"/>
  </rowFields>
  <rowItems count="3">
    <i>
      <x/>
    </i>
    <i>
      <x v="9"/>
    </i>
    <i t="grand">
      <x/>
    </i>
  </rowItems>
  <colFields count="1">
    <field x="-2"/>
  </colFields>
  <colItems count="2">
    <i>
      <x/>
    </i>
    <i i="1">
      <x v="1"/>
    </i>
  </colItems>
  <dataFields count="2">
    <dataField name="Total man hours" fld="5" baseField="0" baseItem="0"/>
    <dataField name="Total cost" fld="6" baseField="8" baseItem="6"/>
  </dataFields>
  <formats count="18">
    <format dxfId="46">
      <pivotArea collapsedLevelsAreSubtotals="1" fieldPosition="0">
        <references count="2">
          <reference field="4294967294" count="1" selected="0">
            <x v="0"/>
          </reference>
          <reference field="8" count="0"/>
        </references>
      </pivotArea>
    </format>
    <format dxfId="45">
      <pivotArea field="8" type="button" dataOnly="0" labelOnly="1" outline="0" axis="axisRow" fieldPosition="0"/>
    </format>
    <format dxfId="44">
      <pivotArea dataOnly="0" labelOnly="1" outline="0" fieldPosition="0">
        <references count="1">
          <reference field="4294967294" count="2">
            <x v="0"/>
            <x v="1"/>
          </reference>
        </references>
      </pivotArea>
    </format>
    <format dxfId="43">
      <pivotArea collapsedLevelsAreSubtotals="1" fieldPosition="0">
        <references count="2">
          <reference field="4294967294" count="1" selected="0">
            <x v="1"/>
          </reference>
          <reference field="8" count="0"/>
        </references>
      </pivotArea>
    </format>
    <format dxfId="42">
      <pivotArea field="8" grandRow="1" outline="0" collapsedLevelsAreSubtotals="1" axis="axisRow" fieldPosition="0">
        <references count="1">
          <reference field="4294967294" count="1" selected="0">
            <x v="0"/>
          </reference>
        </references>
      </pivotArea>
    </format>
    <format dxfId="41">
      <pivotArea field="8" grandRow="1" outline="0" collapsedLevelsAreSubtotals="1" axis="axisRow" fieldPosition="0">
        <references count="1">
          <reference field="4294967294" count="1" selected="0">
            <x v="1"/>
          </reference>
        </references>
      </pivotArea>
    </format>
    <format dxfId="40">
      <pivotArea grandRow="1" outline="0" collapsedLevelsAreSubtotals="1" fieldPosition="0"/>
    </format>
    <format dxfId="39">
      <pivotArea dataOnly="0" labelOnly="1" grandRow="1" outline="0" fieldPosition="0"/>
    </format>
    <format dxfId="38">
      <pivotArea grandRow="1" outline="0" collapsedLevelsAreSubtotals="1" fieldPosition="0"/>
    </format>
    <format dxfId="37">
      <pivotArea dataOnly="0" labelOnly="1" grandRow="1" outline="0" fieldPosition="0"/>
    </format>
    <format dxfId="36">
      <pivotArea field="8" type="button" dataOnly="0" labelOnly="1" outline="0" axis="axisRow" fieldPosition="0"/>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5C3CF7-3B8C-4A58-AC47-66E9D97B3C77}" name="Table_SOW" displayName="Table_SOW" ref="C4:K21" totalsRowCount="1" headerRowDxfId="58" dataDxfId="57" totalsRowDxfId="56">
  <autoFilter ref="C4:K20" xr:uid="{420EF0A9-E663-43E7-92DD-EFB7F5F700EA}"/>
  <tableColumns count="9">
    <tableColumn id="1" xr3:uid="{FF9B6C49-987E-4E12-96CF-70BA4B205C76}" name="#" totalsRowLabel="Total" dataDxfId="55" totalsRowDxfId="28"/>
    <tableColumn id="2" xr3:uid="{51B0923A-0531-4767-AD89-5E5C95A4D20E}" name="Project implementation tasks" dataDxfId="54" totalsRowDxfId="27"/>
    <tableColumn id="5" xr3:uid="{D0BFE8EC-E31F-4048-B007-40B02351BFD9}" name="Resource country" dataDxfId="53" totalsRowDxfId="26"/>
    <tableColumn id="6" xr3:uid="{86B9B668-8524-4060-8ADF-EE9B6A834138}" name="Resource role" dataDxfId="52" totalsRowDxfId="25"/>
    <tableColumn id="8" xr3:uid="{67C368B9-563A-48B9-8A1D-69A049457227}" name="Rate, USD" dataDxfId="51" totalsRowDxfId="24">
      <calculatedColumnFormula>IFERROR(VLOOKUP(Table_SOW[[#This Row],[Resource country]]&amp;Table_SOW[[#This Row],[Resource role]],Table_Rates[#All],4,FALSE),"n/a")</calculatedColumnFormula>
    </tableColumn>
    <tableColumn id="10" xr3:uid="{E28D9850-0FC9-466D-98A1-5EE776C84693}" name="Estimated hours" totalsRowFunction="sum" dataDxfId="50" totalsRowDxfId="23"/>
    <tableColumn id="9" xr3:uid="{3D263194-3B07-4FF7-B6C4-702A27455F79}" name="Cost, USD" totalsRowFunction="sum" dataDxfId="49" totalsRowDxfId="22">
      <calculatedColumnFormula>IFERROR(Table_SOW[[#This Row],[Rate, USD]]*Table_SOW[[#This Row],[Estimated hours]],"Check role")</calculatedColumnFormula>
    </tableColumn>
    <tableColumn id="4" xr3:uid="{8495AEB6-E897-4E4F-923B-7B9BEA6C34F6}" name="Revenue, USD" totalsRowFunction="sum" dataDxfId="48" totalsRowDxfId="21">
      <calculatedColumnFormula>IFERROR(Table_SOW[[#This Row],[Cost, USD]]/(1-'Project overview'!$C$43),"Check role")</calculatedColumnFormula>
    </tableColumn>
    <tableColumn id="7" xr3:uid="{AC735F8D-EBB8-4F4A-AD51-AD19B60823C9}" name="Resource Full Name" dataDxfId="47" totalsRowDxfId="20">
      <calculatedColumnFormula>CONCATENATE(Table_SOW[[#This Row],[Resource country]]," ",Table_SOW[[#This Row],[Resource role]])</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8CCBAB-9CE6-4089-9EE8-5EDE933E705C}" name="Table_Countries" displayName="Table_Countries" ref="B3:B38" totalsRowShown="0" headerRowDxfId="83" dataDxfId="81" headerRowBorderDxfId="82" tableBorderDxfId="80" totalsRowBorderDxfId="79">
  <autoFilter ref="B3:B38" xr:uid="{560BDC44-CF4C-47A7-901A-228FA990797E}"/>
  <tableColumns count="1">
    <tableColumn id="1" xr3:uid="{72F675A0-923B-4D20-BB65-100A27FB81E1}" name="Country" dataDxfId="7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D5A123-51FB-4486-8B88-75AE8B318598}" name="Table_Rates" displayName="Table_Rates" ref="B60:E115" totalsRowShown="0" headerRowDxfId="77" dataDxfId="75" headerRowBorderDxfId="76" tableBorderDxfId="74" totalsRowBorderDxfId="73">
  <autoFilter ref="B60:E115" xr:uid="{944C200C-DFA2-4350-A6DE-EB0812E40E40}">
    <filterColumn colId="1">
      <filters>
        <filter val="Malaysia"/>
      </filters>
    </filterColumn>
  </autoFilter>
  <sortState xmlns:xlrd2="http://schemas.microsoft.com/office/spreadsheetml/2017/richdata2" ref="C61:E115">
    <sortCondition ref="C60:C115"/>
  </sortState>
  <tableColumns count="4">
    <tableColumn id="4" xr3:uid="{B2BE01ED-227A-4BDA-AF98-6907490B5326}" name="Rate name" dataDxfId="72" totalsRowDxfId="71">
      <calculatedColumnFormula>_xlfn.CONCAT(Table_Rates[[#This Row],[Country]],Table_Rates[[#This Row],[Role]])</calculatedColumnFormula>
    </tableColumn>
    <tableColumn id="1" xr3:uid="{5CC916C7-068E-4B73-BF44-A02BAD89933D}" name="Country" dataDxfId="70" totalsRowDxfId="69"/>
    <tableColumn id="2" xr3:uid="{F70D8FB4-26EA-4A18-85BE-5449FFFB05D3}" name="Role" dataDxfId="68" totalsRowDxfId="67"/>
    <tableColumn id="3" xr3:uid="{C0106567-928C-46B0-8C8A-312C2AA46C60}" name="Hour rate, USD" dataDxfId="66" totalsRowDxfId="65"/>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1B0E11C-7375-4061-BA5D-D199D50DAFAD}" name="Table_Roles" displayName="Table_Roles" ref="B40:B49" totalsRowShown="0" headerRowDxfId="64" dataDxfId="62" headerRowBorderDxfId="63" tableBorderDxfId="61" totalsRowBorderDxfId="60">
  <autoFilter ref="B40:B49" xr:uid="{99E220E4-BB34-431F-80E6-1E70D89C8E19}"/>
  <tableColumns count="1">
    <tableColumn id="1" xr3:uid="{CFA60B34-E7F4-4AE7-810E-97C2E2E3E06A}" name="Role" dataDxfId="59"/>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7.bin"/><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E670-1B8C-418D-B7E1-E54B0426999A}">
  <sheetPr codeName="Sheet1">
    <tabColor theme="2" tint="-9.9978637043366805E-2"/>
  </sheetPr>
  <dimension ref="A1:N10"/>
  <sheetViews>
    <sheetView showGridLines="0" zoomScale="85" zoomScaleNormal="85" workbookViewId="0">
      <selection activeCell="A7" sqref="A7:N7"/>
    </sheetView>
  </sheetViews>
  <sheetFormatPr defaultColWidth="8.77734375" defaultRowHeight="14.4" x14ac:dyDescent="0.3"/>
  <sheetData>
    <row r="1" spans="1:14" ht="15.6" x14ac:dyDescent="0.3">
      <c r="A1" s="128" t="s">
        <v>0</v>
      </c>
      <c r="B1" s="129"/>
      <c r="C1" s="129"/>
      <c r="D1" s="129"/>
      <c r="E1" s="129"/>
      <c r="F1" s="129"/>
      <c r="G1" s="129"/>
      <c r="H1" s="129"/>
      <c r="I1" s="129"/>
      <c r="J1" s="129"/>
      <c r="K1" s="129"/>
      <c r="L1" s="129"/>
      <c r="M1" s="129"/>
      <c r="N1" s="130"/>
    </row>
    <row r="2" spans="1:14" ht="182.25" customHeight="1" x14ac:dyDescent="0.3">
      <c r="A2" s="134" t="s">
        <v>1</v>
      </c>
      <c r="B2" s="135"/>
      <c r="C2" s="135"/>
      <c r="D2" s="135"/>
      <c r="E2" s="135"/>
      <c r="F2" s="135"/>
      <c r="G2" s="135"/>
      <c r="H2" s="135"/>
      <c r="I2" s="135"/>
      <c r="J2" s="135"/>
      <c r="K2" s="135"/>
      <c r="L2" s="135"/>
      <c r="M2" s="135"/>
      <c r="N2" s="136"/>
    </row>
    <row r="3" spans="1:14" x14ac:dyDescent="0.3">
      <c r="A3" s="74"/>
      <c r="B3" s="137" t="s">
        <v>2</v>
      </c>
      <c r="C3" s="138"/>
      <c r="D3" s="138"/>
      <c r="E3" s="138"/>
      <c r="F3" s="138"/>
      <c r="G3" s="138"/>
      <c r="H3" s="138"/>
      <c r="I3" s="138"/>
      <c r="J3" s="138"/>
      <c r="K3" s="138"/>
      <c r="L3" s="138"/>
      <c r="M3" s="138"/>
      <c r="N3" s="139"/>
    </row>
    <row r="4" spans="1:14" x14ac:dyDescent="0.3">
      <c r="A4" s="107"/>
      <c r="B4" s="140" t="s">
        <v>3</v>
      </c>
      <c r="C4" s="141"/>
      <c r="D4" s="141"/>
      <c r="E4" s="141"/>
      <c r="F4" s="141"/>
      <c r="G4" s="141"/>
      <c r="H4" s="141"/>
      <c r="I4" s="141"/>
      <c r="J4" s="141"/>
      <c r="K4" s="141"/>
      <c r="L4" s="141"/>
      <c r="M4" s="141"/>
      <c r="N4" s="142"/>
    </row>
    <row r="6" spans="1:14" ht="15.6" x14ac:dyDescent="0.3">
      <c r="A6" s="128" t="s">
        <v>4</v>
      </c>
      <c r="B6" s="129"/>
      <c r="C6" s="129"/>
      <c r="D6" s="129"/>
      <c r="E6" s="129"/>
      <c r="F6" s="129"/>
      <c r="G6" s="129"/>
      <c r="H6" s="129"/>
      <c r="I6" s="129"/>
      <c r="J6" s="129"/>
      <c r="K6" s="129"/>
      <c r="L6" s="129"/>
      <c r="M6" s="129"/>
      <c r="N6" s="130"/>
    </row>
    <row r="7" spans="1:14" ht="129.75" customHeight="1" x14ac:dyDescent="0.3">
      <c r="A7" s="131" t="s">
        <v>5</v>
      </c>
      <c r="B7" s="132"/>
      <c r="C7" s="132"/>
      <c r="D7" s="132"/>
      <c r="E7" s="132"/>
      <c r="F7" s="132"/>
      <c r="G7" s="132"/>
      <c r="H7" s="132"/>
      <c r="I7" s="132"/>
      <c r="J7" s="132"/>
      <c r="K7" s="132"/>
      <c r="L7" s="132"/>
      <c r="M7" s="132"/>
      <c r="N7" s="133"/>
    </row>
    <row r="9" spans="1:14" ht="15.6" x14ac:dyDescent="0.3">
      <c r="A9" s="128" t="s">
        <v>6</v>
      </c>
      <c r="B9" s="129"/>
      <c r="C9" s="129"/>
      <c r="D9" s="129"/>
      <c r="E9" s="129"/>
      <c r="F9" s="129"/>
      <c r="G9" s="129"/>
      <c r="H9" s="129"/>
      <c r="I9" s="129"/>
      <c r="J9" s="129"/>
      <c r="K9" s="129"/>
      <c r="L9" s="129"/>
      <c r="M9" s="129"/>
      <c r="N9" s="130"/>
    </row>
    <row r="10" spans="1:14" ht="87.75" customHeight="1" x14ac:dyDescent="0.3">
      <c r="A10" s="131" t="s">
        <v>7</v>
      </c>
      <c r="B10" s="132"/>
      <c r="C10" s="132"/>
      <c r="D10" s="132"/>
      <c r="E10" s="132"/>
      <c r="F10" s="132"/>
      <c r="G10" s="132"/>
      <c r="H10" s="132"/>
      <c r="I10" s="132"/>
      <c r="J10" s="132"/>
      <c r="K10" s="132"/>
      <c r="L10" s="132"/>
      <c r="M10" s="132"/>
      <c r="N10" s="133"/>
    </row>
  </sheetData>
  <mergeCells count="8">
    <mergeCell ref="A9:N9"/>
    <mergeCell ref="A10:N10"/>
    <mergeCell ref="A6:N6"/>
    <mergeCell ref="A7:N7"/>
    <mergeCell ref="A1:N1"/>
    <mergeCell ref="A2:N2"/>
    <mergeCell ref="B3:N3"/>
    <mergeCell ref="B4:N4"/>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H22"/>
  <sheetViews>
    <sheetView topLeftCell="A6" zoomScale="85" zoomScaleNormal="85" workbookViewId="0">
      <selection activeCell="A20" sqref="A20:C20"/>
    </sheetView>
  </sheetViews>
  <sheetFormatPr defaultColWidth="9.109375" defaultRowHeight="13.8" x14ac:dyDescent="0.3"/>
  <cols>
    <col min="1" max="1" width="3.6640625" style="15" customWidth="1"/>
    <col min="2" max="2" width="71.33203125" style="15" customWidth="1"/>
    <col min="3" max="3" width="23.44140625" style="15" customWidth="1"/>
    <col min="4" max="4" width="25.6640625" style="15" customWidth="1"/>
    <col min="5" max="5" width="3" style="15" customWidth="1"/>
    <col min="6" max="7" width="19.44140625" style="15" customWidth="1"/>
    <col min="8" max="8" width="15.77734375" style="15" customWidth="1"/>
    <col min="9" max="15" width="9.109375" style="15"/>
    <col min="16" max="16" width="9.109375" style="15" customWidth="1"/>
    <col min="17" max="17" width="62.77734375" style="15" customWidth="1"/>
    <col min="18" max="24" width="9.109375" style="15" customWidth="1"/>
    <col min="25" max="25" width="0.77734375" style="15" customWidth="1"/>
    <col min="26" max="16384" width="9.109375" style="15"/>
  </cols>
  <sheetData>
    <row r="1" spans="1:8" ht="18.75" customHeight="1" x14ac:dyDescent="0.3">
      <c r="A1" s="144" t="s">
        <v>8</v>
      </c>
      <c r="B1" s="144"/>
      <c r="C1" s="144"/>
      <c r="D1" s="144"/>
      <c r="E1" s="144"/>
      <c r="F1" s="144"/>
      <c r="G1" s="14"/>
      <c r="H1" s="14"/>
    </row>
    <row r="2" spans="1:8" ht="18.75" customHeight="1" x14ac:dyDescent="0.3">
      <c r="A2" s="16"/>
      <c r="B2" s="17" t="s">
        <v>9</v>
      </c>
      <c r="C2" s="145" t="e">
        <f>IF(ISBLANK(V_Customer),"",V_Customer)</f>
        <v>#NAME?</v>
      </c>
      <c r="D2" s="146"/>
      <c r="E2" s="18"/>
      <c r="F2" s="19" t="s">
        <v>10</v>
      </c>
      <c r="G2" s="39">
        <v>43413</v>
      </c>
      <c r="H2" s="44"/>
    </row>
    <row r="3" spans="1:8" ht="18.75" customHeight="1" x14ac:dyDescent="0.3">
      <c r="A3" s="18"/>
      <c r="B3" s="17" t="s">
        <v>11</v>
      </c>
      <c r="C3" s="145" t="e">
        <f>IF(ISBLANK(V_ProjectName),"",V_ProjectName)</f>
        <v>#NAME?</v>
      </c>
      <c r="D3" s="146"/>
      <c r="E3" s="18"/>
      <c r="F3" s="19" t="s">
        <v>12</v>
      </c>
      <c r="G3" s="40"/>
      <c r="H3" s="44"/>
    </row>
    <row r="4" spans="1:8" s="20" customFormat="1" ht="4.5" customHeight="1" x14ac:dyDescent="0.3">
      <c r="B4" s="45"/>
      <c r="C4" s="21"/>
    </row>
    <row r="5" spans="1:8" s="20" customFormat="1" ht="18.75" customHeight="1" x14ac:dyDescent="0.3">
      <c r="A5" s="147" t="s">
        <v>13</v>
      </c>
      <c r="B5" s="147"/>
      <c r="C5" s="41" t="s">
        <v>14</v>
      </c>
    </row>
    <row r="6" spans="1:8" s="20" customFormat="1" ht="18.75" customHeight="1" x14ac:dyDescent="0.3">
      <c r="A6" s="45"/>
      <c r="B6" s="30" t="s">
        <v>15</v>
      </c>
      <c r="C6" s="31" t="s">
        <v>16</v>
      </c>
    </row>
    <row r="7" spans="1:8" s="20" customFormat="1" ht="18.75" customHeight="1" x14ac:dyDescent="0.3">
      <c r="A7" s="45"/>
      <c r="B7" s="30" t="s">
        <v>17</v>
      </c>
      <c r="C7" s="31" t="s">
        <v>18</v>
      </c>
    </row>
    <row r="8" spans="1:8" s="20" customFormat="1" ht="4.5" customHeight="1" x14ac:dyDescent="0.3">
      <c r="B8" s="45"/>
      <c r="C8" s="21"/>
    </row>
    <row r="9" spans="1:8" s="20" customFormat="1" ht="18.75" customHeight="1" x14ac:dyDescent="0.3">
      <c r="A9" s="22" t="s">
        <v>19</v>
      </c>
      <c r="B9" s="23" t="s">
        <v>20</v>
      </c>
      <c r="C9" s="23" t="s">
        <v>21</v>
      </c>
      <c r="D9" s="23" t="s">
        <v>22</v>
      </c>
    </row>
    <row r="10" spans="1:8" s="20" customFormat="1" ht="18.75" customHeight="1" x14ac:dyDescent="0.3">
      <c r="A10" s="2">
        <v>1</v>
      </c>
      <c r="B10" s="148" t="s">
        <v>23</v>
      </c>
      <c r="C10" s="149"/>
      <c r="D10" s="32">
        <v>0</v>
      </c>
    </row>
    <row r="11" spans="1:8" s="20" customFormat="1" ht="18.75" customHeight="1" x14ac:dyDescent="0.3">
      <c r="A11" s="2">
        <v>2</v>
      </c>
      <c r="B11" s="148" t="s">
        <v>24</v>
      </c>
      <c r="C11" s="149"/>
      <c r="D11" s="33">
        <v>1</v>
      </c>
    </row>
    <row r="12" spans="1:8" ht="19.5" customHeight="1" x14ac:dyDescent="0.3">
      <c r="A12" s="2">
        <v>3</v>
      </c>
      <c r="B12" s="150" t="s">
        <v>25</v>
      </c>
      <c r="C12" s="150"/>
      <c r="D12" s="24">
        <f>ROUNDUP(D10/8/D11,0)</f>
        <v>0</v>
      </c>
      <c r="E12" s="43"/>
      <c r="F12" s="43"/>
      <c r="G12" s="43"/>
      <c r="H12" s="43"/>
    </row>
    <row r="13" spans="1:8" ht="17.25" customHeight="1" x14ac:dyDescent="0.3">
      <c r="A13" s="2">
        <v>4</v>
      </c>
      <c r="B13" s="150" t="s">
        <v>26</v>
      </c>
      <c r="C13" s="150"/>
      <c r="D13" s="25" t="e">
        <f>INDEX(#REF!,MATCH('2a.Travel calc'!C6,#REF!,0),MATCH('2a.Travel calc'!C7,#REF!,0))</f>
        <v>#REF!</v>
      </c>
      <c r="E13" s="43"/>
      <c r="F13" s="43"/>
      <c r="G13" s="43"/>
      <c r="H13" s="43"/>
    </row>
    <row r="14" spans="1:8" ht="17.25" customHeight="1" x14ac:dyDescent="0.3">
      <c r="A14" s="2">
        <v>5</v>
      </c>
      <c r="B14" s="46" t="s">
        <v>27</v>
      </c>
      <c r="C14" s="34" t="s">
        <v>28</v>
      </c>
      <c r="D14" s="25" t="e">
        <f>VLOOKUP(C14,#REF!,2,FALSE)</f>
        <v>#REF!</v>
      </c>
      <c r="E14" s="43"/>
      <c r="F14" s="43"/>
      <c r="G14" s="43"/>
      <c r="H14" s="43"/>
    </row>
    <row r="15" spans="1:8" ht="17.25" customHeight="1" x14ac:dyDescent="0.3">
      <c r="A15" s="2">
        <v>6</v>
      </c>
      <c r="B15" s="148" t="s">
        <v>29</v>
      </c>
      <c r="C15" s="149"/>
      <c r="D15" s="36">
        <v>1000</v>
      </c>
    </row>
    <row r="16" spans="1:8" ht="18.75" customHeight="1" x14ac:dyDescent="0.3">
      <c r="A16" s="2">
        <v>7</v>
      </c>
      <c r="B16" s="26" t="s">
        <v>30</v>
      </c>
      <c r="C16" s="35">
        <v>0</v>
      </c>
      <c r="D16" s="37">
        <v>2</v>
      </c>
      <c r="E16" s="43"/>
      <c r="F16" s="43"/>
      <c r="G16" s="43"/>
      <c r="H16" s="43"/>
    </row>
    <row r="17" spans="1:8" ht="19.5" customHeight="1" x14ac:dyDescent="0.3">
      <c r="A17" s="2">
        <v>8</v>
      </c>
      <c r="B17" s="151" t="s">
        <v>31</v>
      </c>
      <c r="C17" s="152"/>
      <c r="D17" s="36">
        <v>0</v>
      </c>
      <c r="E17" s="43"/>
      <c r="F17" s="43"/>
      <c r="G17" s="43"/>
      <c r="H17" s="43"/>
    </row>
    <row r="18" spans="1:8" ht="18.75" customHeight="1" x14ac:dyDescent="0.3">
      <c r="A18" s="2">
        <v>9</v>
      </c>
      <c r="B18" s="151" t="s">
        <v>32</v>
      </c>
      <c r="C18" s="152"/>
      <c r="D18" s="38">
        <v>0.1</v>
      </c>
      <c r="E18" s="43"/>
      <c r="F18" s="43"/>
      <c r="G18" s="43"/>
      <c r="H18" s="43"/>
    </row>
    <row r="19" spans="1:8" ht="18.75" customHeight="1" x14ac:dyDescent="0.3">
      <c r="E19" s="43"/>
      <c r="F19" s="43"/>
      <c r="G19" s="43"/>
      <c r="H19" s="43"/>
    </row>
    <row r="20" spans="1:8" ht="18.75" customHeight="1" x14ac:dyDescent="0.3">
      <c r="A20" s="153" t="s">
        <v>33</v>
      </c>
      <c r="B20" s="154"/>
      <c r="C20" s="155"/>
      <c r="D20" s="27" t="e">
        <f>((1.4*(IF(D12&gt;15,D12/ROUNDUP(D12/15,0),D12)*(D13+D14))+D15)*ROUNDUP(D12/15,0)*D11+(1.4*D16*(D13+D14)+D15)*C16)*(100%+D18)+D17</f>
        <v>#REF!</v>
      </c>
      <c r="E20" s="43"/>
      <c r="F20" s="28"/>
      <c r="G20" s="43"/>
      <c r="H20" s="28"/>
    </row>
    <row r="21" spans="1:8" ht="18.75" customHeight="1" x14ac:dyDescent="0.3">
      <c r="A21" s="43"/>
      <c r="B21" s="43"/>
      <c r="C21" s="43"/>
      <c r="D21" s="43"/>
      <c r="E21" s="43"/>
      <c r="F21" s="43"/>
      <c r="G21" s="43"/>
      <c r="H21" s="43"/>
    </row>
    <row r="22" spans="1:8" ht="82.8" x14ac:dyDescent="0.3">
      <c r="A22" s="43"/>
      <c r="B22" s="29" t="s">
        <v>34</v>
      </c>
      <c r="C22" s="143" t="s">
        <v>35</v>
      </c>
      <c r="D22" s="143"/>
      <c r="E22" s="143"/>
      <c r="F22" s="143"/>
      <c r="H22" s="43"/>
    </row>
  </sheetData>
  <mergeCells count="13">
    <mergeCell ref="C22:F22"/>
    <mergeCell ref="A1:F1"/>
    <mergeCell ref="C2:D2"/>
    <mergeCell ref="C3:D3"/>
    <mergeCell ref="A5:B5"/>
    <mergeCell ref="B10:C10"/>
    <mergeCell ref="B11:C11"/>
    <mergeCell ref="B12:C12"/>
    <mergeCell ref="B15:C15"/>
    <mergeCell ref="B17:C17"/>
    <mergeCell ref="B18:C18"/>
    <mergeCell ref="A20:C20"/>
    <mergeCell ref="B13:C13"/>
  </mergeCells>
  <dataValidations count="4">
    <dataValidation allowBlank="1" showInputMessage="1" showErrorMessage="1" promptTitle="Source" prompt="Every trip duration" sqref="D16" xr:uid="{00000000-0002-0000-0300-000000000000}"/>
    <dataValidation allowBlank="1" showInputMessage="1" showErrorMessage="1" promptTitle="Source" prompt="Estimation of presale-architect" sqref="D10:D11" xr:uid="{00000000-0002-0000-0300-000001000000}"/>
    <dataValidation type="list" allowBlank="1" showInputMessage="1" showErrorMessage="1" sqref="C16:C17" xr:uid="{00000000-0002-0000-0300-000002000000}">
      <formula1>"0,1,2,3,4,5,6,7,8,9,10,11,12,13,14,15,16,17,18,19,20"</formula1>
    </dataValidation>
    <dataValidation type="list" allowBlank="1" showInputMessage="1" showErrorMessage="1" sqref="C6:C7 C13:C14" xr:uid="{00000000-0002-0000-0300-000003000000}">
      <formula1>#REF!</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6"/>
  <dimension ref="A1:F55"/>
  <sheetViews>
    <sheetView zoomScale="85" zoomScaleNormal="85" workbookViewId="0">
      <selection activeCell="B26" sqref="B26"/>
    </sheetView>
  </sheetViews>
  <sheetFormatPr defaultColWidth="9.109375" defaultRowHeight="14.4" x14ac:dyDescent="0.3"/>
  <cols>
    <col min="1" max="1" width="80.44140625" style="8" customWidth="1"/>
    <col min="2" max="4" width="12.6640625" style="8" customWidth="1"/>
    <col min="5" max="5" width="43.44140625" style="8" customWidth="1"/>
    <col min="6" max="6" width="17.77734375" style="8" customWidth="1"/>
    <col min="7" max="16384" width="9.109375" style="8"/>
  </cols>
  <sheetData>
    <row r="1" spans="1:6" x14ac:dyDescent="0.25">
      <c r="A1" s="159" t="s">
        <v>36</v>
      </c>
      <c r="B1" s="159"/>
      <c r="C1" s="159"/>
      <c r="D1" s="159"/>
      <c r="E1" s="159"/>
      <c r="F1" s="1"/>
    </row>
    <row r="3" spans="1:6" ht="28.8" x14ac:dyDescent="0.3">
      <c r="A3" s="7" t="s">
        <v>37</v>
      </c>
      <c r="B3" s="7" t="s">
        <v>38</v>
      </c>
      <c r="C3" s="7" t="s">
        <v>39</v>
      </c>
      <c r="D3" s="7" t="s">
        <v>40</v>
      </c>
      <c r="E3" s="7" t="s">
        <v>41</v>
      </c>
    </row>
    <row r="4" spans="1:6" x14ac:dyDescent="0.3">
      <c r="A4" s="156" t="s">
        <v>42</v>
      </c>
      <c r="B4" s="157"/>
      <c r="C4" s="157"/>
      <c r="D4" s="157"/>
      <c r="E4" s="158"/>
    </row>
    <row r="5" spans="1:6" x14ac:dyDescent="0.3">
      <c r="A5" s="9" t="s">
        <v>43</v>
      </c>
      <c r="B5" s="10">
        <v>1</v>
      </c>
      <c r="C5" s="10">
        <v>1</v>
      </c>
      <c r="D5" s="10">
        <f>B5*C5</f>
        <v>1</v>
      </c>
      <c r="E5" s="9" t="s">
        <v>44</v>
      </c>
    </row>
    <row r="6" spans="1:6" ht="28.8" x14ac:dyDescent="0.3">
      <c r="A6" s="11" t="s">
        <v>45</v>
      </c>
      <c r="B6" s="10">
        <v>2</v>
      </c>
      <c r="C6" s="10">
        <v>1</v>
      </c>
      <c r="D6" s="10">
        <f t="shared" ref="D6:D10" si="0">B6*C6</f>
        <v>2</v>
      </c>
      <c r="E6" s="9" t="s">
        <v>44</v>
      </c>
    </row>
    <row r="7" spans="1:6" x14ac:dyDescent="0.3">
      <c r="A7" s="11" t="s">
        <v>46</v>
      </c>
      <c r="B7" s="10">
        <v>1</v>
      </c>
      <c r="C7" s="10">
        <v>1</v>
      </c>
      <c r="D7" s="10">
        <f t="shared" si="0"/>
        <v>1</v>
      </c>
      <c r="E7" s="9" t="s">
        <v>44</v>
      </c>
    </row>
    <row r="8" spans="1:6" x14ac:dyDescent="0.3">
      <c r="A8" s="11" t="s">
        <v>47</v>
      </c>
      <c r="B8" s="10">
        <v>2</v>
      </c>
      <c r="C8" s="10">
        <v>1</v>
      </c>
      <c r="D8" s="10">
        <f t="shared" si="0"/>
        <v>2</v>
      </c>
      <c r="E8" s="9" t="s">
        <v>44</v>
      </c>
    </row>
    <row r="9" spans="1:6" x14ac:dyDescent="0.3">
      <c r="A9" s="11" t="s">
        <v>48</v>
      </c>
      <c r="B9" s="10">
        <v>2</v>
      </c>
      <c r="C9" s="10">
        <v>1</v>
      </c>
      <c r="D9" s="10">
        <f t="shared" si="0"/>
        <v>2</v>
      </c>
      <c r="E9" s="9" t="s">
        <v>44</v>
      </c>
    </row>
    <row r="10" spans="1:6" x14ac:dyDescent="0.3">
      <c r="A10" s="9" t="s">
        <v>49</v>
      </c>
      <c r="B10" s="10">
        <v>2</v>
      </c>
      <c r="C10" s="10">
        <v>1</v>
      </c>
      <c r="D10" s="10">
        <f t="shared" si="0"/>
        <v>2</v>
      </c>
      <c r="E10" s="9" t="s">
        <v>44</v>
      </c>
    </row>
    <row r="11" spans="1:6" x14ac:dyDescent="0.3">
      <c r="A11" s="156" t="s">
        <v>50</v>
      </c>
      <c r="B11" s="157"/>
      <c r="C11" s="157"/>
      <c r="D11" s="157"/>
      <c r="E11" s="158"/>
    </row>
    <row r="12" spans="1:6" x14ac:dyDescent="0.3">
      <c r="A12" s="9" t="s">
        <v>51</v>
      </c>
      <c r="B12" s="10">
        <v>0</v>
      </c>
      <c r="C12" s="10">
        <v>1</v>
      </c>
      <c r="D12" s="10">
        <f>B12*C12</f>
        <v>0</v>
      </c>
      <c r="E12" s="9" t="s">
        <v>44</v>
      </c>
    </row>
    <row r="13" spans="1:6" x14ac:dyDescent="0.3">
      <c r="A13" s="9" t="s">
        <v>52</v>
      </c>
      <c r="B13" s="10">
        <v>1</v>
      </c>
      <c r="C13" s="10">
        <v>1</v>
      </c>
      <c r="D13" s="10">
        <f>B13*C13</f>
        <v>1</v>
      </c>
      <c r="E13" s="9" t="s">
        <v>44</v>
      </c>
    </row>
    <row r="14" spans="1:6" x14ac:dyDescent="0.3">
      <c r="A14" s="9" t="s">
        <v>53</v>
      </c>
      <c r="B14" s="10">
        <v>0</v>
      </c>
      <c r="C14" s="10">
        <v>1</v>
      </c>
      <c r="D14" s="10">
        <f>B14*C14</f>
        <v>0</v>
      </c>
      <c r="E14" s="9" t="s">
        <v>44</v>
      </c>
    </row>
    <row r="15" spans="1:6" x14ac:dyDescent="0.3">
      <c r="A15" s="9" t="s">
        <v>54</v>
      </c>
      <c r="B15" s="10">
        <v>0</v>
      </c>
      <c r="C15" s="10">
        <v>1</v>
      </c>
      <c r="D15" s="10">
        <f>B15*C15</f>
        <v>0</v>
      </c>
      <c r="E15" s="9" t="s">
        <v>44</v>
      </c>
    </row>
    <row r="16" spans="1:6" x14ac:dyDescent="0.3">
      <c r="A16" s="156" t="s">
        <v>55</v>
      </c>
      <c r="B16" s="157"/>
      <c r="C16" s="157"/>
      <c r="D16" s="157"/>
      <c r="E16" s="158"/>
    </row>
    <row r="17" spans="1:5" x14ac:dyDescent="0.3">
      <c r="A17" s="9" t="s">
        <v>56</v>
      </c>
      <c r="B17" s="10">
        <v>2</v>
      </c>
      <c r="C17" s="10">
        <v>1</v>
      </c>
      <c r="D17" s="10">
        <f>B17*C17</f>
        <v>2</v>
      </c>
      <c r="E17" s="9" t="s">
        <v>44</v>
      </c>
    </row>
    <row r="18" spans="1:5" x14ac:dyDescent="0.3">
      <c r="A18" s="9" t="s">
        <v>57</v>
      </c>
      <c r="B18" s="10">
        <v>0</v>
      </c>
      <c r="C18" s="10">
        <v>1</v>
      </c>
      <c r="D18" s="10">
        <f>B18*C18</f>
        <v>0</v>
      </c>
      <c r="E18" s="9" t="s">
        <v>44</v>
      </c>
    </row>
    <row r="19" spans="1:5" x14ac:dyDescent="0.3">
      <c r="A19" s="9" t="s">
        <v>58</v>
      </c>
      <c r="B19" s="10">
        <v>2</v>
      </c>
      <c r="C19" s="10">
        <v>1</v>
      </c>
      <c r="D19" s="10">
        <f>B19*C19</f>
        <v>2</v>
      </c>
      <c r="E19" s="9" t="s">
        <v>44</v>
      </c>
    </row>
    <row r="20" spans="1:5" x14ac:dyDescent="0.3">
      <c r="A20" s="9" t="s">
        <v>59</v>
      </c>
      <c r="B20" s="10">
        <v>2</v>
      </c>
      <c r="C20" s="10">
        <v>1</v>
      </c>
      <c r="D20" s="10">
        <f>B20*C20</f>
        <v>2</v>
      </c>
      <c r="E20" s="9" t="s">
        <v>44</v>
      </c>
    </row>
    <row r="21" spans="1:5" x14ac:dyDescent="0.3">
      <c r="A21" s="11" t="s">
        <v>60</v>
      </c>
      <c r="B21" s="10">
        <v>1</v>
      </c>
      <c r="C21" s="10">
        <v>1</v>
      </c>
      <c r="D21" s="10">
        <f>B21*C21</f>
        <v>1</v>
      </c>
      <c r="E21" s="9" t="s">
        <v>44</v>
      </c>
    </row>
    <row r="22" spans="1:5" x14ac:dyDescent="0.3">
      <c r="A22" s="156" t="s">
        <v>61</v>
      </c>
      <c r="B22" s="157"/>
      <c r="C22" s="157"/>
      <c r="D22" s="157"/>
      <c r="E22" s="158"/>
    </row>
    <row r="23" spans="1:5" x14ac:dyDescent="0.3">
      <c r="A23" s="9" t="s">
        <v>62</v>
      </c>
      <c r="B23" s="10">
        <v>1</v>
      </c>
      <c r="C23" s="10" t="e">
        <f>IF(#REF!="Yes",1,0)</f>
        <v>#REF!</v>
      </c>
      <c r="D23" s="10" t="e">
        <f>B23*C23</f>
        <v>#REF!</v>
      </c>
      <c r="E23" s="9" t="s">
        <v>63</v>
      </c>
    </row>
    <row r="24" spans="1:5" x14ac:dyDescent="0.3">
      <c r="A24" s="9" t="s">
        <v>64</v>
      </c>
      <c r="B24" s="10">
        <v>1</v>
      </c>
      <c r="C24" s="10" t="e">
        <f>IF(#REF!="Yes",1,0)</f>
        <v>#REF!</v>
      </c>
      <c r="D24" s="10" t="e">
        <f>B24*C24</f>
        <v>#REF!</v>
      </c>
      <c r="E24" s="9" t="s">
        <v>63</v>
      </c>
    </row>
    <row r="25" spans="1:5" x14ac:dyDescent="0.3">
      <c r="A25" s="9" t="s">
        <v>65</v>
      </c>
      <c r="B25" s="10">
        <v>2</v>
      </c>
      <c r="C25" s="10" t="e">
        <f>IF(#REF!="Yes",1,0)</f>
        <v>#REF!</v>
      </c>
      <c r="D25" s="10" t="e">
        <f>B25*C25</f>
        <v>#REF!</v>
      </c>
      <c r="E25" s="9" t="s">
        <v>63</v>
      </c>
    </row>
    <row r="26" spans="1:5" x14ac:dyDescent="0.3">
      <c r="A26" s="9" t="s">
        <v>66</v>
      </c>
      <c r="B26" s="10">
        <v>1</v>
      </c>
      <c r="C26" s="10" t="e">
        <f>IF(#REF!="Yes",1,0)</f>
        <v>#REF!</v>
      </c>
      <c r="D26" s="10" t="e">
        <f>B26*C26</f>
        <v>#REF!</v>
      </c>
      <c r="E26" s="9" t="s">
        <v>63</v>
      </c>
    </row>
    <row r="27" spans="1:5" x14ac:dyDescent="0.3">
      <c r="A27" s="156" t="s">
        <v>67</v>
      </c>
      <c r="B27" s="157"/>
      <c r="C27" s="157"/>
      <c r="D27" s="157"/>
      <c r="E27" s="158"/>
    </row>
    <row r="28" spans="1:5" x14ac:dyDescent="0.3">
      <c r="A28" s="9" t="s">
        <v>68</v>
      </c>
      <c r="B28" s="10">
        <v>1</v>
      </c>
      <c r="C28" s="42" t="e">
        <f>#REF!</f>
        <v>#REF!</v>
      </c>
      <c r="D28" s="10" t="e">
        <f>B28*C28</f>
        <v>#REF!</v>
      </c>
      <c r="E28" s="9" t="s">
        <v>69</v>
      </c>
    </row>
    <row r="29" spans="1:5" x14ac:dyDescent="0.3">
      <c r="A29" s="9" t="s">
        <v>70</v>
      </c>
      <c r="B29" s="10">
        <v>1</v>
      </c>
      <c r="C29" s="42" t="e">
        <f>#REF!</f>
        <v>#REF!</v>
      </c>
      <c r="D29" s="10" t="e">
        <f t="shared" ref="D29:D34" si="1">B29*C29</f>
        <v>#REF!</v>
      </c>
      <c r="E29" s="9" t="s">
        <v>69</v>
      </c>
    </row>
    <row r="30" spans="1:5" x14ac:dyDescent="0.3">
      <c r="A30" s="9" t="s">
        <v>71</v>
      </c>
      <c r="B30" s="10">
        <v>1</v>
      </c>
      <c r="C30" s="42" t="e">
        <f>#REF!</f>
        <v>#REF!</v>
      </c>
      <c r="D30" s="10" t="e">
        <f t="shared" si="1"/>
        <v>#REF!</v>
      </c>
      <c r="E30" s="9" t="s">
        <v>69</v>
      </c>
    </row>
    <row r="31" spans="1:5" x14ac:dyDescent="0.3">
      <c r="A31" s="9" t="s">
        <v>72</v>
      </c>
      <c r="B31" s="10">
        <v>1</v>
      </c>
      <c r="C31" s="42" t="e">
        <f>#REF!</f>
        <v>#REF!</v>
      </c>
      <c r="D31" s="10" t="e">
        <f t="shared" si="1"/>
        <v>#REF!</v>
      </c>
      <c r="E31" s="9" t="s">
        <v>69</v>
      </c>
    </row>
    <row r="32" spans="1:5" x14ac:dyDescent="0.3">
      <c r="A32" s="9" t="s">
        <v>73</v>
      </c>
      <c r="B32" s="10">
        <v>1</v>
      </c>
      <c r="C32" s="42" t="e">
        <f>#REF!</f>
        <v>#REF!</v>
      </c>
      <c r="D32" s="10" t="e">
        <f t="shared" si="1"/>
        <v>#REF!</v>
      </c>
      <c r="E32" s="9" t="s">
        <v>69</v>
      </c>
    </row>
    <row r="33" spans="1:5" x14ac:dyDescent="0.3">
      <c r="A33" s="9" t="s">
        <v>74</v>
      </c>
      <c r="B33" s="10">
        <v>1</v>
      </c>
      <c r="C33" s="42" t="e">
        <f>#REF!</f>
        <v>#REF!</v>
      </c>
      <c r="D33" s="10" t="e">
        <f t="shared" si="1"/>
        <v>#REF!</v>
      </c>
      <c r="E33" s="9" t="s">
        <v>69</v>
      </c>
    </row>
    <row r="34" spans="1:5" x14ac:dyDescent="0.3">
      <c r="A34" s="9" t="s">
        <v>75</v>
      </c>
      <c r="B34" s="10">
        <v>1</v>
      </c>
      <c r="C34" s="10" t="e">
        <f>IF(V_IsLogistics="Yes",#REF!,0)</f>
        <v>#NAME?</v>
      </c>
      <c r="D34" s="10" t="e">
        <f t="shared" si="1"/>
        <v>#NAME?</v>
      </c>
      <c r="E34" s="9" t="s">
        <v>69</v>
      </c>
    </row>
    <row r="35" spans="1:5" x14ac:dyDescent="0.3">
      <c r="A35" s="156" t="s">
        <v>76</v>
      </c>
      <c r="B35" s="157"/>
      <c r="C35" s="157"/>
      <c r="D35" s="157"/>
      <c r="E35" s="158"/>
    </row>
    <row r="36" spans="1:5" x14ac:dyDescent="0.3">
      <c r="A36" s="9" t="s">
        <v>77</v>
      </c>
      <c r="B36" s="10">
        <v>2</v>
      </c>
      <c r="C36" s="10" t="e">
        <f>V_IsSubContractor</f>
        <v>#NAME?</v>
      </c>
      <c r="D36" s="10" t="e">
        <f t="shared" ref="D36:D42" si="2">B36*C36</f>
        <v>#NAME?</v>
      </c>
      <c r="E36" s="9" t="s">
        <v>78</v>
      </c>
    </row>
    <row r="37" spans="1:5" x14ac:dyDescent="0.3">
      <c r="A37" s="9" t="s">
        <v>79</v>
      </c>
      <c r="B37" s="10">
        <v>1</v>
      </c>
      <c r="C37" s="10" t="e">
        <f>V_IsSubContractor</f>
        <v>#NAME?</v>
      </c>
      <c r="D37" s="10" t="e">
        <f t="shared" si="2"/>
        <v>#NAME?</v>
      </c>
      <c r="E37" s="9" t="s">
        <v>78</v>
      </c>
    </row>
    <row r="38" spans="1:5" x14ac:dyDescent="0.3">
      <c r="A38" s="9" t="s">
        <v>80</v>
      </c>
      <c r="B38" s="10">
        <v>0.5</v>
      </c>
      <c r="C38" s="10" t="e">
        <f>V_IsSubContractor</f>
        <v>#NAME?</v>
      </c>
      <c r="D38" s="10" t="e">
        <f t="shared" si="2"/>
        <v>#NAME?</v>
      </c>
      <c r="E38" s="9" t="s">
        <v>78</v>
      </c>
    </row>
    <row r="39" spans="1:5" x14ac:dyDescent="0.3">
      <c r="A39" s="9" t="s">
        <v>81</v>
      </c>
      <c r="B39" s="10">
        <v>2</v>
      </c>
      <c r="C39" s="10">
        <v>1</v>
      </c>
      <c r="D39" s="10">
        <f t="shared" si="2"/>
        <v>2</v>
      </c>
      <c r="E39" s="9" t="s">
        <v>44</v>
      </c>
    </row>
    <row r="40" spans="1:5" x14ac:dyDescent="0.3">
      <c r="A40" s="9" t="s">
        <v>82</v>
      </c>
      <c r="B40" s="10">
        <v>2</v>
      </c>
      <c r="C40" s="10" t="e">
        <f>IF(V_HoursTechWriter&gt;0,1,0)</f>
        <v>#NAME?</v>
      </c>
      <c r="D40" s="10" t="e">
        <f t="shared" si="2"/>
        <v>#NAME?</v>
      </c>
      <c r="E40" s="9" t="s">
        <v>44</v>
      </c>
    </row>
    <row r="41" spans="1:5" x14ac:dyDescent="0.3">
      <c r="A41" s="9" t="s">
        <v>83</v>
      </c>
      <c r="B41" s="10">
        <v>2</v>
      </c>
      <c r="C41" s="10">
        <v>1</v>
      </c>
      <c r="D41" s="10">
        <f t="shared" si="2"/>
        <v>2</v>
      </c>
      <c r="E41" s="9" t="s">
        <v>44</v>
      </c>
    </row>
    <row r="42" spans="1:5" x14ac:dyDescent="0.3">
      <c r="A42" s="9" t="s">
        <v>84</v>
      </c>
      <c r="B42" s="10">
        <v>0.5</v>
      </c>
      <c r="C42" s="10">
        <v>1</v>
      </c>
      <c r="D42" s="10">
        <f t="shared" si="2"/>
        <v>0.5</v>
      </c>
      <c r="E42" s="9" t="s">
        <v>44</v>
      </c>
    </row>
    <row r="43" spans="1:5" x14ac:dyDescent="0.3">
      <c r="A43" s="156" t="s">
        <v>85</v>
      </c>
      <c r="B43" s="157"/>
      <c r="C43" s="157"/>
      <c r="D43" s="157"/>
      <c r="E43" s="158"/>
    </row>
    <row r="44" spans="1:5" x14ac:dyDescent="0.3">
      <c r="A44" s="9" t="s">
        <v>86</v>
      </c>
      <c r="B44" s="10">
        <v>0.5</v>
      </c>
      <c r="C44" s="10">
        <v>1</v>
      </c>
      <c r="D44" s="10">
        <f>B44*C44</f>
        <v>0.5</v>
      </c>
      <c r="E44" s="9" t="s">
        <v>44</v>
      </c>
    </row>
    <row r="45" spans="1:5" x14ac:dyDescent="0.3">
      <c r="A45" s="9" t="s">
        <v>87</v>
      </c>
      <c r="B45" s="10">
        <v>0.5</v>
      </c>
      <c r="C45" s="10">
        <v>1</v>
      </c>
      <c r="D45" s="10">
        <f>B45*C45</f>
        <v>0.5</v>
      </c>
      <c r="E45" s="9" t="s">
        <v>44</v>
      </c>
    </row>
    <row r="46" spans="1:5" x14ac:dyDescent="0.3">
      <c r="A46" s="156" t="s">
        <v>88</v>
      </c>
      <c r="B46" s="157"/>
      <c r="C46" s="157"/>
      <c r="D46" s="157"/>
      <c r="E46" s="158"/>
    </row>
    <row r="47" spans="1:5" x14ac:dyDescent="0.3">
      <c r="A47" s="9" t="s">
        <v>89</v>
      </c>
      <c r="B47" s="10">
        <v>0</v>
      </c>
      <c r="C47" s="10">
        <v>1</v>
      </c>
      <c r="D47" s="10">
        <f>B47*C47</f>
        <v>0</v>
      </c>
      <c r="E47" s="9" t="s">
        <v>44</v>
      </c>
    </row>
    <row r="48" spans="1:5" ht="28.8" x14ac:dyDescent="0.3">
      <c r="A48" s="9" t="s">
        <v>90</v>
      </c>
      <c r="B48" s="10">
        <v>1</v>
      </c>
      <c r="C48" s="10">
        <v>1</v>
      </c>
      <c r="D48" s="10">
        <f>B48*C48</f>
        <v>1</v>
      </c>
      <c r="E48" s="9" t="s">
        <v>44</v>
      </c>
    </row>
    <row r="49" spans="1:5" x14ac:dyDescent="0.3">
      <c r="A49" s="156" t="s">
        <v>91</v>
      </c>
      <c r="B49" s="157"/>
      <c r="C49" s="157"/>
      <c r="D49" s="157"/>
      <c r="E49" s="158"/>
    </row>
    <row r="50" spans="1:5" x14ac:dyDescent="0.3">
      <c r="A50" s="13" t="s">
        <v>92</v>
      </c>
      <c r="B50" s="13">
        <v>0</v>
      </c>
      <c r="C50" s="13">
        <v>0</v>
      </c>
      <c r="D50" s="10">
        <f t="shared" ref="D50:D54" si="3">B50*C50</f>
        <v>0</v>
      </c>
      <c r="E50" s="13"/>
    </row>
    <row r="51" spans="1:5" x14ac:dyDescent="0.3">
      <c r="A51" s="13" t="s">
        <v>93</v>
      </c>
      <c r="B51" s="13">
        <v>0</v>
      </c>
      <c r="C51" s="13">
        <v>0</v>
      </c>
      <c r="D51" s="10">
        <f t="shared" si="3"/>
        <v>0</v>
      </c>
      <c r="E51" s="13"/>
    </row>
    <row r="52" spans="1:5" x14ac:dyDescent="0.3">
      <c r="A52" s="13" t="s">
        <v>94</v>
      </c>
      <c r="B52" s="13">
        <v>0</v>
      </c>
      <c r="C52" s="13">
        <v>0</v>
      </c>
      <c r="D52" s="10">
        <f t="shared" si="3"/>
        <v>0</v>
      </c>
      <c r="E52" s="13"/>
    </row>
    <row r="53" spans="1:5" x14ac:dyDescent="0.3">
      <c r="A53" s="13" t="s">
        <v>95</v>
      </c>
      <c r="B53" s="13">
        <v>0</v>
      </c>
      <c r="C53" s="13">
        <v>0</v>
      </c>
      <c r="D53" s="10">
        <f t="shared" si="3"/>
        <v>0</v>
      </c>
      <c r="E53" s="13"/>
    </row>
    <row r="54" spans="1:5" x14ac:dyDescent="0.3">
      <c r="A54" s="13" t="s">
        <v>96</v>
      </c>
      <c r="B54" s="13">
        <v>0</v>
      </c>
      <c r="C54" s="13">
        <v>0</v>
      </c>
      <c r="D54" s="10">
        <f t="shared" si="3"/>
        <v>0</v>
      </c>
      <c r="E54" s="13"/>
    </row>
    <row r="55" spans="1:5" x14ac:dyDescent="0.3">
      <c r="C55" s="12" t="s">
        <v>97</v>
      </c>
      <c r="D55" s="12" t="e">
        <f>SUM(D5:D54)</f>
        <v>#REF!</v>
      </c>
    </row>
  </sheetData>
  <mergeCells count="10">
    <mergeCell ref="A49:E49"/>
    <mergeCell ref="A1:E1"/>
    <mergeCell ref="A35:E35"/>
    <mergeCell ref="A43:E43"/>
    <mergeCell ref="A46:E46"/>
    <mergeCell ref="A4:E4"/>
    <mergeCell ref="A11:E11"/>
    <mergeCell ref="A16:E16"/>
    <mergeCell ref="A22:E22"/>
    <mergeCell ref="A27:E2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6F6D9-FB7E-4E6E-8CDE-D4DDA932B49F}">
  <sheetPr codeName="Sheet3">
    <tabColor theme="5" tint="0.59999389629810485"/>
  </sheetPr>
  <dimension ref="B2:G51"/>
  <sheetViews>
    <sheetView zoomScale="90" zoomScaleNormal="90" workbookViewId="0">
      <selection activeCell="C11" sqref="C11"/>
    </sheetView>
  </sheetViews>
  <sheetFormatPr defaultColWidth="9.109375" defaultRowHeight="13.8" x14ac:dyDescent="0.3"/>
  <cols>
    <col min="1" max="1" width="9.109375" style="47"/>
    <col min="2" max="2" width="30.6640625" style="47" customWidth="1"/>
    <col min="3" max="3" width="50.6640625" style="47" customWidth="1"/>
    <col min="4" max="4" width="3.6640625" style="47" customWidth="1"/>
    <col min="5" max="5" width="19.77734375" style="47" customWidth="1"/>
    <col min="6" max="6" width="10.44140625" style="47" bestFit="1" customWidth="1"/>
    <col min="7" max="16384" width="9.109375" style="47"/>
  </cols>
  <sheetData>
    <row r="2" spans="2:3" x14ac:dyDescent="0.3">
      <c r="B2" s="160" t="s">
        <v>98</v>
      </c>
      <c r="C2" s="161"/>
    </row>
    <row r="3" spans="2:3" x14ac:dyDescent="0.3">
      <c r="B3" s="58" t="s">
        <v>99</v>
      </c>
      <c r="C3" s="63" t="s">
        <v>100</v>
      </c>
    </row>
    <row r="4" spans="2:3" x14ac:dyDescent="0.3">
      <c r="B4" s="58" t="s">
        <v>101</v>
      </c>
      <c r="C4" s="63" t="s">
        <v>102</v>
      </c>
    </row>
    <row r="5" spans="2:3" ht="12.75" customHeight="1" x14ac:dyDescent="0.3">
      <c r="B5" s="58" t="s">
        <v>103</v>
      </c>
      <c r="C5" s="63" t="s">
        <v>104</v>
      </c>
    </row>
    <row r="6" spans="2:3" x14ac:dyDescent="0.3">
      <c r="B6" s="58" t="s">
        <v>105</v>
      </c>
      <c r="C6" s="63" t="s">
        <v>106</v>
      </c>
    </row>
    <row r="7" spans="2:3" ht="12.75" customHeight="1" x14ac:dyDescent="0.3">
      <c r="B7" s="58" t="s">
        <v>107</v>
      </c>
      <c r="C7" s="63" t="s">
        <v>108</v>
      </c>
    </row>
    <row r="9" spans="2:3" x14ac:dyDescent="0.3">
      <c r="B9" s="160" t="s">
        <v>109</v>
      </c>
      <c r="C9" s="161"/>
    </row>
    <row r="10" spans="2:3" x14ac:dyDescent="0.3">
      <c r="B10" s="58" t="s">
        <v>110</v>
      </c>
      <c r="C10" s="63" t="s">
        <v>111</v>
      </c>
    </row>
    <row r="11" spans="2:3" x14ac:dyDescent="0.3">
      <c r="B11" s="58" t="s">
        <v>112</v>
      </c>
      <c r="C11" s="63"/>
    </row>
    <row r="12" spans="2:3" x14ac:dyDescent="0.3">
      <c r="B12" s="58" t="s">
        <v>113</v>
      </c>
      <c r="C12" s="63" t="s">
        <v>114</v>
      </c>
    </row>
    <row r="14" spans="2:3" x14ac:dyDescent="0.3">
      <c r="B14" s="160" t="s">
        <v>115</v>
      </c>
      <c r="C14" s="161"/>
    </row>
    <row r="15" spans="2:3" x14ac:dyDescent="0.3">
      <c r="B15" s="58" t="s">
        <v>11</v>
      </c>
      <c r="C15" s="63" t="s">
        <v>116</v>
      </c>
    </row>
    <row r="16" spans="2:3" ht="38.25" customHeight="1" x14ac:dyDescent="0.3">
      <c r="B16" s="58" t="s">
        <v>117</v>
      </c>
      <c r="C16" s="63" t="s">
        <v>118</v>
      </c>
    </row>
    <row r="18" spans="2:5" x14ac:dyDescent="0.3">
      <c r="B18" s="160" t="s">
        <v>119</v>
      </c>
      <c r="C18" s="161"/>
    </row>
    <row r="19" spans="2:5" ht="41.4" x14ac:dyDescent="0.3">
      <c r="B19" s="58" t="s">
        <v>120</v>
      </c>
      <c r="C19" s="64" t="s">
        <v>121</v>
      </c>
    </row>
    <row r="20" spans="2:5" ht="41.4" x14ac:dyDescent="0.3">
      <c r="B20" s="58" t="s">
        <v>122</v>
      </c>
      <c r="C20" s="72" t="s">
        <v>123</v>
      </c>
    </row>
    <row r="21" spans="2:5" ht="69" x14ac:dyDescent="0.3">
      <c r="B21" s="58" t="s">
        <v>124</v>
      </c>
      <c r="C21" s="64" t="s">
        <v>125</v>
      </c>
    </row>
    <row r="23" spans="2:5" ht="45.75" customHeight="1" x14ac:dyDescent="0.3">
      <c r="B23" s="162" t="s">
        <v>126</v>
      </c>
      <c r="C23" s="163"/>
    </row>
    <row r="24" spans="2:5" x14ac:dyDescent="0.3">
      <c r="B24" s="160" t="s">
        <v>127</v>
      </c>
      <c r="C24" s="164"/>
    </row>
    <row r="25" spans="2:5" ht="27.6" x14ac:dyDescent="0.3">
      <c r="B25" s="58" t="s">
        <v>127</v>
      </c>
      <c r="C25" s="63" t="s">
        <v>128</v>
      </c>
    </row>
    <row r="26" spans="2:5" ht="27.6" x14ac:dyDescent="0.3">
      <c r="B26" s="58" t="s">
        <v>359</v>
      </c>
      <c r="C26" s="63" t="s">
        <v>129</v>
      </c>
    </row>
    <row r="27" spans="2:5" x14ac:dyDescent="0.3">
      <c r="B27" s="58" t="s">
        <v>130</v>
      </c>
      <c r="C27" s="63" t="s">
        <v>131</v>
      </c>
    </row>
    <row r="29" spans="2:5" x14ac:dyDescent="0.3">
      <c r="B29" s="160" t="s">
        <v>132</v>
      </c>
      <c r="C29" s="161"/>
    </row>
    <row r="30" spans="2:5" x14ac:dyDescent="0.3">
      <c r="B30" s="58" t="s">
        <v>132</v>
      </c>
      <c r="C30" s="63" t="s">
        <v>133</v>
      </c>
      <c r="E30" s="77" t="s">
        <v>134</v>
      </c>
    </row>
    <row r="32" spans="2:5" x14ac:dyDescent="0.3">
      <c r="B32" s="160" t="s">
        <v>135</v>
      </c>
      <c r="C32" s="161"/>
    </row>
    <row r="33" spans="2:7" x14ac:dyDescent="0.3">
      <c r="B33" s="58" t="s">
        <v>136</v>
      </c>
      <c r="C33" s="69">
        <f>'Project estimations_adv'!I29</f>
        <v>2613.6</v>
      </c>
      <c r="E33" s="76" t="s">
        <v>137</v>
      </c>
    </row>
    <row r="34" spans="2:7" x14ac:dyDescent="0.3">
      <c r="B34" s="58" t="s">
        <v>138</v>
      </c>
      <c r="C34" s="69">
        <f>'Project estimations_adv'!I38</f>
        <v>0</v>
      </c>
      <c r="E34" s="76" t="s">
        <v>139</v>
      </c>
    </row>
    <row r="35" spans="2:7" x14ac:dyDescent="0.3">
      <c r="B35" s="58" t="s">
        <v>140</v>
      </c>
      <c r="C35" s="69">
        <f>'Project estimations_adv'!I47</f>
        <v>0</v>
      </c>
      <c r="E35" s="76" t="s">
        <v>141</v>
      </c>
    </row>
    <row r="36" spans="2:7" x14ac:dyDescent="0.3">
      <c r="B36" s="58" t="s">
        <v>142</v>
      </c>
      <c r="C36" s="69">
        <f>'Project estimations_adv'!I56</f>
        <v>24.948000000000008</v>
      </c>
      <c r="E36" s="76" t="s">
        <v>143</v>
      </c>
    </row>
    <row r="37" spans="2:7" x14ac:dyDescent="0.3">
      <c r="B37" s="58" t="s">
        <v>144</v>
      </c>
      <c r="C37" s="65">
        <v>0</v>
      </c>
      <c r="E37" s="77" t="s">
        <v>134</v>
      </c>
    </row>
    <row r="38" spans="2:7" x14ac:dyDescent="0.3">
      <c r="B38" s="58" t="s">
        <v>145</v>
      </c>
      <c r="C38" s="65">
        <v>0</v>
      </c>
      <c r="E38" s="77" t="s">
        <v>134</v>
      </c>
    </row>
    <row r="39" spans="2:7" x14ac:dyDescent="0.3">
      <c r="B39" s="58" t="s">
        <v>146</v>
      </c>
      <c r="C39" s="65">
        <v>0</v>
      </c>
      <c r="E39" s="77" t="s">
        <v>134</v>
      </c>
    </row>
    <row r="40" spans="2:7" x14ac:dyDescent="0.3">
      <c r="B40" s="70" t="s">
        <v>147</v>
      </c>
      <c r="C40" s="68">
        <f>SUM(C33:C39)</f>
        <v>2638.5479999999998</v>
      </c>
      <c r="E40" s="78" t="s">
        <v>148</v>
      </c>
    </row>
    <row r="42" spans="2:7" x14ac:dyDescent="0.3">
      <c r="B42" s="160" t="s">
        <v>149</v>
      </c>
      <c r="C42" s="161"/>
    </row>
    <row r="43" spans="2:7" x14ac:dyDescent="0.3">
      <c r="B43" s="58" t="s">
        <v>150</v>
      </c>
      <c r="C43" s="67">
        <v>0.3</v>
      </c>
      <c r="E43" s="77" t="s">
        <v>134</v>
      </c>
      <c r="F43" s="50"/>
      <c r="G43" s="50"/>
    </row>
    <row r="44" spans="2:7" x14ac:dyDescent="0.3">
      <c r="B44" s="58" t="s">
        <v>151</v>
      </c>
      <c r="C44" s="69">
        <f>C45-C40</f>
        <v>1130.8062857142859</v>
      </c>
      <c r="E44" s="78" t="s">
        <v>148</v>
      </c>
    </row>
    <row r="45" spans="2:7" x14ac:dyDescent="0.3">
      <c r="B45" s="70" t="s">
        <v>152</v>
      </c>
      <c r="C45" s="68">
        <f>C40/(1-C43)</f>
        <v>3769.3542857142857</v>
      </c>
      <c r="E45" s="78" t="s">
        <v>148</v>
      </c>
    </row>
    <row r="47" spans="2:7" x14ac:dyDescent="0.3">
      <c r="B47" s="160" t="s">
        <v>153</v>
      </c>
      <c r="C47" s="161"/>
    </row>
    <row r="48" spans="2:7" x14ac:dyDescent="0.3">
      <c r="B48" s="58" t="s">
        <v>154</v>
      </c>
      <c r="C48" s="69">
        <f>C45</f>
        <v>3769.3542857142857</v>
      </c>
      <c r="E48" s="78" t="s">
        <v>148</v>
      </c>
    </row>
    <row r="49" spans="2:5" x14ac:dyDescent="0.3">
      <c r="B49" s="58" t="s">
        <v>155</v>
      </c>
      <c r="C49" s="65"/>
      <c r="E49" s="77" t="s">
        <v>134</v>
      </c>
    </row>
    <row r="50" spans="2:5" x14ac:dyDescent="0.3">
      <c r="B50" s="58" t="s">
        <v>156</v>
      </c>
      <c r="C50" s="65"/>
      <c r="E50" s="77" t="s">
        <v>134</v>
      </c>
    </row>
    <row r="51" spans="2:5" x14ac:dyDescent="0.3">
      <c r="B51" s="70" t="s">
        <v>157</v>
      </c>
      <c r="C51" s="68">
        <f>SUM(C48:C50)</f>
        <v>3769.3542857142857</v>
      </c>
      <c r="E51" s="78" t="s">
        <v>148</v>
      </c>
    </row>
  </sheetData>
  <mergeCells count="10">
    <mergeCell ref="B47:C47"/>
    <mergeCell ref="B9:C9"/>
    <mergeCell ref="B14:C14"/>
    <mergeCell ref="B2:C2"/>
    <mergeCell ref="B18:C18"/>
    <mergeCell ref="B23:C23"/>
    <mergeCell ref="B32:C32"/>
    <mergeCell ref="B42:C42"/>
    <mergeCell ref="B24:C24"/>
    <mergeCell ref="B29:C29"/>
  </mergeCells>
  <dataValidations count="1">
    <dataValidation allowBlank="1" showInputMessage="1" showErrorMessage="1" promptTitle="Project objective" prompt="Please specify the objective of the project, the key goal which customer wants to achieve by completing the project." sqref="C17" xr:uid="{4DB60A43-1CED-41A7-A602-DEA8F23B638A}"/>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90EAFC1-A13E-46D2-BADA-9EF016AFD8C1}">
          <x14:formula1>
            <xm:f>'Reference data'!$B$4:$B$38</xm:f>
          </x14:formula1>
          <xm:sqref>C11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7C6C-ADF7-4A91-9E43-204B268F3337}">
  <sheetPr codeName="Sheet4">
    <tabColor theme="5" tint="0.59999389629810485"/>
  </sheetPr>
  <dimension ref="B1:M62"/>
  <sheetViews>
    <sheetView tabSelected="1" zoomScale="84" zoomScaleNormal="85" workbookViewId="0">
      <selection activeCell="N15" sqref="N15"/>
    </sheetView>
  </sheetViews>
  <sheetFormatPr defaultColWidth="9.109375" defaultRowHeight="13.8" x14ac:dyDescent="0.3"/>
  <cols>
    <col min="1" max="1" width="9.109375" style="47"/>
    <col min="2" max="2" width="4.77734375" style="47" customWidth="1"/>
    <col min="3" max="3" width="8.6640625" style="47" customWidth="1"/>
    <col min="4" max="4" width="54.109375" style="47" customWidth="1"/>
    <col min="5" max="5" width="16.6640625" style="47" customWidth="1"/>
    <col min="6" max="6" width="24.6640625" style="47" customWidth="1"/>
    <col min="7" max="7" width="10.6640625" style="57" customWidth="1"/>
    <col min="8" max="8" width="13" style="47" customWidth="1"/>
    <col min="9" max="10" width="12.6640625" style="47" customWidth="1"/>
    <col min="11" max="11" width="10" style="57" hidden="1" customWidth="1"/>
    <col min="12" max="12" width="16.77734375" style="47" customWidth="1"/>
    <col min="13" max="13" width="11.109375" style="47" customWidth="1"/>
    <col min="14" max="14" width="10.44140625" style="47" customWidth="1"/>
    <col min="15" max="16384" width="9.109375" style="47"/>
  </cols>
  <sheetData>
    <row r="1" spans="2:11" ht="34.5" customHeight="1" x14ac:dyDescent="0.3">
      <c r="G1" s="47"/>
      <c r="J1" s="117" t="s">
        <v>158</v>
      </c>
      <c r="K1" s="47"/>
    </row>
    <row r="2" spans="2:11" ht="15.75" customHeight="1" x14ac:dyDescent="0.3">
      <c r="C2" s="169" t="s">
        <v>159</v>
      </c>
      <c r="D2" s="169"/>
      <c r="G2" s="47"/>
      <c r="J2" s="116">
        <f>'Project overview'!C43</f>
        <v>0.3</v>
      </c>
      <c r="K2" s="47"/>
    </row>
    <row r="3" spans="2:11" ht="4.95" customHeight="1" x14ac:dyDescent="0.3">
      <c r="G3" s="47"/>
      <c r="K3" s="47"/>
    </row>
    <row r="4" spans="2:11" ht="27.6" x14ac:dyDescent="0.3">
      <c r="C4" s="118" t="s">
        <v>160</v>
      </c>
      <c r="D4" s="118" t="s">
        <v>161</v>
      </c>
      <c r="E4" s="118" t="s">
        <v>162</v>
      </c>
      <c r="F4" s="118" t="s">
        <v>163</v>
      </c>
      <c r="G4" s="118" t="s">
        <v>164</v>
      </c>
      <c r="H4" s="118" t="s">
        <v>165</v>
      </c>
      <c r="I4" s="118" t="s">
        <v>166</v>
      </c>
      <c r="J4" s="118" t="s">
        <v>167</v>
      </c>
      <c r="K4" s="66" t="s">
        <v>168</v>
      </c>
    </row>
    <row r="5" spans="2:11" x14ac:dyDescent="0.3">
      <c r="B5" s="56"/>
      <c r="C5" s="126">
        <v>1</v>
      </c>
      <c r="D5" s="205" t="s">
        <v>365</v>
      </c>
      <c r="E5" s="81" t="s">
        <v>18</v>
      </c>
      <c r="F5" s="81" t="s">
        <v>170</v>
      </c>
      <c r="G5" s="85">
        <f>IFERROR(VLOOKUP(Table_SOW[[#This Row],[Resource country]]&amp;Table_SOW[[#This Row],[Resource role]],Table_Rates[#All],4,FALSE),"n/a")</f>
        <v>22</v>
      </c>
      <c r="H5" s="113">
        <v>4</v>
      </c>
      <c r="I5" s="85">
        <f>IFERROR(Table_SOW[[#This Row],[Rate, USD]]*Table_SOW[[#This Row],[Estimated hours]],"Check role")</f>
        <v>88</v>
      </c>
      <c r="J5" s="85">
        <f>IFERROR(Table_SOW[[#This Row],[Cost, USD]]/(1-'Project overview'!$C$43),"Check role")</f>
        <v>125.71428571428572</v>
      </c>
      <c r="K5" s="114" t="str">
        <f>CONCATENATE(Table_SOW[[#This Row],[Resource country]]," ",Table_SOW[[#This Row],[Resource role]])</f>
        <v>Malaysia Engineer</v>
      </c>
    </row>
    <row r="6" spans="2:11" x14ac:dyDescent="0.3">
      <c r="B6" s="56"/>
      <c r="C6" s="126">
        <v>2</v>
      </c>
      <c r="D6" s="205" t="s">
        <v>366</v>
      </c>
      <c r="E6" s="81" t="s">
        <v>18</v>
      </c>
      <c r="F6" s="81" t="s">
        <v>170</v>
      </c>
      <c r="G6" s="85">
        <f>IFERROR(VLOOKUP(Table_SOW[[#This Row],[Resource country]]&amp;Table_SOW[[#This Row],[Resource role]],Table_Rates[#All],4,FALSE),"n/a")</f>
        <v>22</v>
      </c>
      <c r="H6" s="113">
        <v>4</v>
      </c>
      <c r="I6" s="85">
        <f>IFERROR(Table_SOW[[#This Row],[Rate, USD]]*Table_SOW[[#This Row],[Estimated hours]],"Check role")</f>
        <v>88</v>
      </c>
      <c r="J6" s="85">
        <f>IFERROR(Table_SOW[[#This Row],[Cost, USD]]/(1-'Project overview'!$C$43),"Check role")</f>
        <v>125.71428571428572</v>
      </c>
      <c r="K6" s="114" t="str">
        <f>CONCATENATE(Table_SOW[[#This Row],[Resource country]]," ",Table_SOW[[#This Row],[Resource role]])</f>
        <v>Malaysia Engineer</v>
      </c>
    </row>
    <row r="7" spans="2:11" x14ac:dyDescent="0.3">
      <c r="B7" s="56"/>
      <c r="C7" s="126">
        <v>3</v>
      </c>
      <c r="D7" s="205" t="s">
        <v>367</v>
      </c>
      <c r="E7" s="81" t="s">
        <v>18</v>
      </c>
      <c r="F7" s="81" t="s">
        <v>170</v>
      </c>
      <c r="G7" s="85">
        <f>IFERROR(VLOOKUP(Table_SOW[[#This Row],[Resource country]]&amp;Table_SOW[[#This Row],[Resource role]],Table_Rates[#All],4,FALSE),"n/a")</f>
        <v>22</v>
      </c>
      <c r="H7" s="113">
        <v>8</v>
      </c>
      <c r="I7" s="85">
        <f>IFERROR(Table_SOW[[#This Row],[Rate, USD]]*Table_SOW[[#This Row],[Estimated hours]],"Check role")</f>
        <v>176</v>
      </c>
      <c r="J7" s="85">
        <f>IFERROR(Table_SOW[[#This Row],[Cost, USD]]/(1-'Project overview'!$C$43),"Check role")</f>
        <v>251.42857142857144</v>
      </c>
      <c r="K7" s="114" t="str">
        <f>CONCATENATE(Table_SOW[[#This Row],[Resource country]]," ",Table_SOW[[#This Row],[Resource role]])</f>
        <v>Malaysia Engineer</v>
      </c>
    </row>
    <row r="8" spans="2:11" x14ac:dyDescent="0.3">
      <c r="B8" s="56"/>
      <c r="C8" s="126">
        <v>4</v>
      </c>
      <c r="D8" s="205" t="s">
        <v>368</v>
      </c>
      <c r="E8" s="81" t="s">
        <v>18</v>
      </c>
      <c r="F8" s="81" t="s">
        <v>170</v>
      </c>
      <c r="G8" s="85">
        <f>IFERROR(VLOOKUP(Table_SOW[[#This Row],[Resource country]]&amp;Table_SOW[[#This Row],[Resource role]],Table_Rates[#All],4,FALSE),"n/a")</f>
        <v>22</v>
      </c>
      <c r="H8" s="113">
        <v>8</v>
      </c>
      <c r="I8" s="85">
        <f>IFERROR(Table_SOW[[#This Row],[Rate, USD]]*Table_SOW[[#This Row],[Estimated hours]],"Check role")</f>
        <v>176</v>
      </c>
      <c r="J8" s="85">
        <f>IFERROR(Table_SOW[[#This Row],[Cost, USD]]/(1-'Project overview'!$C$43),"Check role")</f>
        <v>251.42857142857144</v>
      </c>
      <c r="K8" s="114" t="str">
        <f>CONCATENATE(Table_SOW[[#This Row],[Resource country]]," ",Table_SOW[[#This Row],[Resource role]])</f>
        <v>Malaysia Engineer</v>
      </c>
    </row>
    <row r="9" spans="2:11" x14ac:dyDescent="0.3">
      <c r="B9" s="56"/>
      <c r="C9" s="126">
        <v>5</v>
      </c>
      <c r="D9" s="205" t="s">
        <v>369</v>
      </c>
      <c r="E9" s="81" t="s">
        <v>18</v>
      </c>
      <c r="F9" s="81" t="s">
        <v>170</v>
      </c>
      <c r="G9" s="85">
        <f>IFERROR(VLOOKUP(Table_SOW[[#This Row],[Resource country]]&amp;Table_SOW[[#This Row],[Resource role]],Table_Rates[#All],4,FALSE),"n/a")</f>
        <v>22</v>
      </c>
      <c r="H9" s="113">
        <v>8</v>
      </c>
      <c r="I9" s="85">
        <f>IFERROR(Table_SOW[[#This Row],[Rate, USD]]*Table_SOW[[#This Row],[Estimated hours]],"Check role")</f>
        <v>176</v>
      </c>
      <c r="J9" s="85">
        <f>IFERROR(Table_SOW[[#This Row],[Cost, USD]]/(1-'Project overview'!$C$43),"Check role")</f>
        <v>251.42857142857144</v>
      </c>
      <c r="K9" s="114" t="str">
        <f>CONCATENATE(Table_SOW[[#This Row],[Resource country]]," ",Table_SOW[[#This Row],[Resource role]])</f>
        <v>Malaysia Engineer</v>
      </c>
    </row>
    <row r="10" spans="2:11" x14ac:dyDescent="0.3">
      <c r="B10" s="56"/>
      <c r="C10" s="126">
        <v>6</v>
      </c>
      <c r="D10" s="205" t="s">
        <v>370</v>
      </c>
      <c r="E10" s="81" t="s">
        <v>18</v>
      </c>
      <c r="F10" s="81" t="s">
        <v>170</v>
      </c>
      <c r="G10" s="85">
        <f>IFERROR(VLOOKUP(Table_SOW[[#This Row],[Resource country]]&amp;Table_SOW[[#This Row],[Resource role]],Table_Rates[#All],4,FALSE),"n/a")</f>
        <v>22</v>
      </c>
      <c r="H10" s="113">
        <v>8</v>
      </c>
      <c r="I10" s="85">
        <f>IFERROR(Table_SOW[[#This Row],[Rate, USD]]*Table_SOW[[#This Row],[Estimated hours]],"Check role")</f>
        <v>176</v>
      </c>
      <c r="J10" s="85">
        <f>IFERROR(Table_SOW[[#This Row],[Cost, USD]]/(1-'Project overview'!$C$43),"Check role")</f>
        <v>251.42857142857144</v>
      </c>
      <c r="K10" s="114" t="str">
        <f>CONCATENATE(Table_SOW[[#This Row],[Resource country]]," ",Table_SOW[[#This Row],[Resource role]])</f>
        <v>Malaysia Engineer</v>
      </c>
    </row>
    <row r="11" spans="2:11" x14ac:dyDescent="0.3">
      <c r="B11" s="56"/>
      <c r="C11" s="126">
        <v>7</v>
      </c>
      <c r="D11" s="205" t="s">
        <v>371</v>
      </c>
      <c r="E11" s="81" t="s">
        <v>18</v>
      </c>
      <c r="F11" s="81" t="s">
        <v>170</v>
      </c>
      <c r="G11" s="85">
        <f>IFERROR(VLOOKUP(Table_SOW[[#This Row],[Resource country]]&amp;Table_SOW[[#This Row],[Resource role]],Table_Rates[#All],4,FALSE),"n/a")</f>
        <v>22</v>
      </c>
      <c r="H11" s="113">
        <v>12</v>
      </c>
      <c r="I11" s="85">
        <f>IFERROR(Table_SOW[[#This Row],[Rate, USD]]*Table_SOW[[#This Row],[Estimated hours]],"Check role")</f>
        <v>264</v>
      </c>
      <c r="J11" s="85">
        <f>IFERROR(Table_SOW[[#This Row],[Cost, USD]]/(1-'Project overview'!$C$43),"Check role")</f>
        <v>377.14285714285717</v>
      </c>
      <c r="K11" s="114" t="str">
        <f>CONCATENATE(Table_SOW[[#This Row],[Resource country]]," ",Table_SOW[[#This Row],[Resource role]])</f>
        <v>Malaysia Engineer</v>
      </c>
    </row>
    <row r="12" spans="2:11" ht="13.95" customHeight="1" x14ac:dyDescent="0.3">
      <c r="B12" s="56"/>
      <c r="C12" s="126">
        <v>8</v>
      </c>
      <c r="D12" s="205" t="s">
        <v>372</v>
      </c>
      <c r="E12" s="81" t="s">
        <v>18</v>
      </c>
      <c r="F12" s="81" t="s">
        <v>170</v>
      </c>
      <c r="G12" s="85">
        <f>IFERROR(VLOOKUP(Table_SOW[[#This Row],[Resource country]]&amp;Table_SOW[[#This Row],[Resource role]],Table_Rates[#All],4,FALSE),"n/a")</f>
        <v>22</v>
      </c>
      <c r="H12" s="113">
        <v>12</v>
      </c>
      <c r="I12" s="85">
        <f>IFERROR(Table_SOW[[#This Row],[Rate, USD]]*Table_SOW[[#This Row],[Estimated hours]],"Check role")</f>
        <v>264</v>
      </c>
      <c r="J12" s="85">
        <f>IFERROR(Table_SOW[[#This Row],[Cost, USD]]/(1-'Project overview'!$C$43),"Check role")</f>
        <v>377.14285714285717</v>
      </c>
      <c r="K12" s="114" t="str">
        <f>CONCATENATE(Table_SOW[[#This Row],[Resource country]]," ",Table_SOW[[#This Row],[Resource role]])</f>
        <v>Malaysia Engineer</v>
      </c>
    </row>
    <row r="13" spans="2:11" ht="13.95" customHeight="1" x14ac:dyDescent="0.3">
      <c r="B13" s="56"/>
      <c r="C13" s="126">
        <v>9</v>
      </c>
      <c r="D13" s="205" t="s">
        <v>373</v>
      </c>
      <c r="E13" s="81" t="s">
        <v>18</v>
      </c>
      <c r="F13" s="81" t="s">
        <v>170</v>
      </c>
      <c r="G13" s="85">
        <f>IFERROR(VLOOKUP(Table_SOW[[#This Row],[Resource country]]&amp;Table_SOW[[#This Row],[Resource role]],Table_Rates[#All],4,FALSE),"n/a")</f>
        <v>22</v>
      </c>
      <c r="H13" s="113">
        <v>8</v>
      </c>
      <c r="I13" s="85">
        <f>IFERROR(Table_SOW[[#This Row],[Rate, USD]]*Table_SOW[[#This Row],[Estimated hours]],"Check role")</f>
        <v>176</v>
      </c>
      <c r="J13" s="85">
        <f>IFERROR(Table_SOW[[#This Row],[Cost, USD]]/(1-'Project overview'!$C$43),"Check role")</f>
        <v>251.42857142857144</v>
      </c>
      <c r="K13" s="114" t="str">
        <f>CONCATENATE(Table_SOW[[#This Row],[Resource country]]," ",Table_SOW[[#This Row],[Resource role]])</f>
        <v>Malaysia Engineer</v>
      </c>
    </row>
    <row r="14" spans="2:11" ht="13.95" customHeight="1" x14ac:dyDescent="0.3">
      <c r="B14" s="56"/>
      <c r="C14" s="126">
        <v>10</v>
      </c>
      <c r="D14" s="206" t="s">
        <v>374</v>
      </c>
      <c r="E14" s="81" t="s">
        <v>18</v>
      </c>
      <c r="F14" s="81" t="s">
        <v>170</v>
      </c>
      <c r="G14" s="85">
        <f>IFERROR(VLOOKUP(Table_SOW[[#This Row],[Resource country]]&amp;Table_SOW[[#This Row],[Resource role]],Table_Rates[#All],4,FALSE),"n/a")</f>
        <v>22</v>
      </c>
      <c r="H14" s="113">
        <v>16</v>
      </c>
      <c r="I14" s="85">
        <f>IFERROR(Table_SOW[[#This Row],[Rate, USD]]*Table_SOW[[#This Row],[Estimated hours]],"Check role")</f>
        <v>352</v>
      </c>
      <c r="J14" s="85">
        <f>IFERROR(Table_SOW[[#This Row],[Cost, USD]]/(1-'Project overview'!$C$43),"Check role")</f>
        <v>502.85714285714289</v>
      </c>
      <c r="K14" s="114" t="str">
        <f>CONCATENATE(Table_SOW[[#This Row],[Resource country]]," ",Table_SOW[[#This Row],[Resource role]])</f>
        <v>Malaysia Engineer</v>
      </c>
    </row>
    <row r="15" spans="2:11" ht="13.95" customHeight="1" x14ac:dyDescent="0.3">
      <c r="B15" s="56"/>
      <c r="C15" s="126">
        <v>11</v>
      </c>
      <c r="D15" s="205" t="s">
        <v>375</v>
      </c>
      <c r="E15" s="81" t="s">
        <v>18</v>
      </c>
      <c r="F15" s="81" t="s">
        <v>170</v>
      </c>
      <c r="G15" s="85">
        <f>IFERROR(VLOOKUP(Table_SOW[[#This Row],[Resource country]]&amp;Table_SOW[[#This Row],[Resource role]],Table_Rates[#All],4,FALSE),"n/a")</f>
        <v>22</v>
      </c>
      <c r="H15" s="113">
        <v>8</v>
      </c>
      <c r="I15" s="85">
        <f>IFERROR(Table_SOW[[#This Row],[Rate, USD]]*Table_SOW[[#This Row],[Estimated hours]],"Check role")</f>
        <v>176</v>
      </c>
      <c r="J15" s="85">
        <f>IFERROR(Table_SOW[[#This Row],[Cost, USD]]/(1-'Project overview'!$C$43),"Check role")</f>
        <v>251.42857142857144</v>
      </c>
      <c r="K15" s="114" t="str">
        <f>CONCATENATE(Table_SOW[[#This Row],[Resource country]]," ",Table_SOW[[#This Row],[Resource role]])</f>
        <v>Malaysia Engineer</v>
      </c>
    </row>
    <row r="16" spans="2:11" ht="13.95" customHeight="1" x14ac:dyDescent="0.3">
      <c r="B16" s="56"/>
      <c r="C16" s="126">
        <v>12</v>
      </c>
      <c r="D16" s="205" t="s">
        <v>376</v>
      </c>
      <c r="E16" s="81" t="s">
        <v>18</v>
      </c>
      <c r="F16" s="81" t="s">
        <v>170</v>
      </c>
      <c r="G16" s="85">
        <f>IFERROR(VLOOKUP(Table_SOW[[#This Row],[Resource country]]&amp;Table_SOW[[#This Row],[Resource role]],Table_Rates[#All],4,FALSE),"n/a")</f>
        <v>22</v>
      </c>
      <c r="H16" s="113">
        <v>4</v>
      </c>
      <c r="I16" s="85">
        <f>IFERROR(Table_SOW[[#This Row],[Rate, USD]]*Table_SOW[[#This Row],[Estimated hours]],"Check role")</f>
        <v>88</v>
      </c>
      <c r="J16" s="85">
        <f>IFERROR(Table_SOW[[#This Row],[Cost, USD]]/(1-'Project overview'!$C$43),"Check role")</f>
        <v>125.71428571428572</v>
      </c>
      <c r="K16" s="114" t="str">
        <f>CONCATENATE(Table_SOW[[#This Row],[Resource country]]," ",Table_SOW[[#This Row],[Resource role]])</f>
        <v>Malaysia Engineer</v>
      </c>
    </row>
    <row r="17" spans="2:13" ht="13.95" customHeight="1" x14ac:dyDescent="0.3">
      <c r="B17" s="56"/>
      <c r="C17" s="126">
        <v>13</v>
      </c>
      <c r="D17" s="205" t="s">
        <v>364</v>
      </c>
      <c r="E17" s="81" t="s">
        <v>18</v>
      </c>
      <c r="F17" s="81" t="s">
        <v>170</v>
      </c>
      <c r="G17" s="85">
        <f>IFERROR(VLOOKUP(Table_SOW[[#This Row],[Resource country]]&amp;Table_SOW[[#This Row],[Resource role]],Table_Rates[#All],4,FALSE),"n/a")</f>
        <v>22</v>
      </c>
      <c r="H17" s="113">
        <v>8</v>
      </c>
      <c r="I17" s="85">
        <f>IFERROR(Table_SOW[[#This Row],[Rate, USD]]*Table_SOW[[#This Row],[Estimated hours]],"Check role")</f>
        <v>176</v>
      </c>
      <c r="J17" s="85">
        <f>IFERROR(Table_SOW[[#This Row],[Cost, USD]]/(1-'Project overview'!$C$43),"Check role")</f>
        <v>251.42857142857144</v>
      </c>
      <c r="K17" s="114" t="str">
        <f>CONCATENATE(Table_SOW[[#This Row],[Resource country]]," ",Table_SOW[[#This Row],[Resource role]])</f>
        <v>Malaysia Engineer</v>
      </c>
    </row>
    <row r="18" spans="2:13" ht="13.95" customHeight="1" x14ac:dyDescent="0.3">
      <c r="B18" s="56"/>
      <c r="C18" s="126"/>
      <c r="D18" s="127"/>
      <c r="E18" s="81"/>
      <c r="F18" s="81"/>
      <c r="G18" s="85" t="str">
        <f>IFERROR(VLOOKUP(Table_SOW[[#This Row],[Resource country]]&amp;Table_SOW[[#This Row],[Resource role]],Table_Rates[#All],4,FALSE),"n/a")</f>
        <v>n/a</v>
      </c>
      <c r="H18" s="113"/>
      <c r="I18" s="85" t="str">
        <f>IFERROR(Table_SOW[[#This Row],[Rate, USD]]*Table_SOW[[#This Row],[Estimated hours]],"Check role")</f>
        <v>Check role</v>
      </c>
      <c r="J18" s="85" t="str">
        <f>IFERROR(Table_SOW[[#This Row],[Cost, USD]]/(1-'Project overview'!$C$43),"Check role")</f>
        <v>Check role</v>
      </c>
      <c r="K18" s="114" t="str">
        <f>CONCATENATE(Table_SOW[[#This Row],[Resource country]]," ",Table_SOW[[#This Row],[Resource role]])</f>
        <v xml:space="preserve"> </v>
      </c>
    </row>
    <row r="19" spans="2:13" x14ac:dyDescent="0.3">
      <c r="B19" s="56"/>
      <c r="C19" s="48"/>
      <c r="D19" s="81"/>
      <c r="E19" s="81"/>
      <c r="F19" s="81"/>
      <c r="G19" s="85" t="str">
        <f>IFERROR(VLOOKUP(Table_SOW[[#This Row],[Resource country]]&amp;Table_SOW[[#This Row],[Resource role]],Table_Rates[#All],4,FALSE),"n/a")</f>
        <v>n/a</v>
      </c>
      <c r="H19" s="113"/>
      <c r="I19" s="85" t="str">
        <f>IFERROR(Table_SOW[[#This Row],[Rate, USD]]*Table_SOW[[#This Row],[Estimated hours]],"Check role")</f>
        <v>Check role</v>
      </c>
      <c r="J19" s="85" t="str">
        <f>IFERROR(Table_SOW[[#This Row],[Cost, USD]]/(1-'Project overview'!$C$43),"Check role")</f>
        <v>Check role</v>
      </c>
      <c r="K19" s="114" t="str">
        <f>CONCATENATE(Table_SOW[[#This Row],[Resource country]]," ",Table_SOW[[#This Row],[Resource role]])</f>
        <v xml:space="preserve"> </v>
      </c>
    </row>
    <row r="20" spans="2:13" x14ac:dyDescent="0.3">
      <c r="B20" s="56"/>
      <c r="C20" s="48"/>
      <c r="D20" s="81"/>
      <c r="E20" s="81"/>
      <c r="F20" s="81"/>
      <c r="G20" s="85" t="str">
        <f>IFERROR(VLOOKUP(Table_SOW[[#This Row],[Resource country]]&amp;Table_SOW[[#This Row],[Resource role]],Table_Rates[#All],4,FALSE),"n/a")</f>
        <v>n/a</v>
      </c>
      <c r="H20" s="113"/>
      <c r="I20" s="85" t="str">
        <f>IFERROR(Table_SOW[[#This Row],[Rate, USD]]*Table_SOW[[#This Row],[Estimated hours]],"Check role")</f>
        <v>Check role</v>
      </c>
      <c r="J20" s="85" t="str">
        <f>IFERROR(Table_SOW[[#This Row],[Cost, USD]]/(1-'Project overview'!$C$43),"Check role")</f>
        <v>Check role</v>
      </c>
      <c r="K20" s="114" t="str">
        <f>CONCATENATE(Table_SOW[[#This Row],[Resource country]]," ",Table_SOW[[#This Row],[Resource role]])</f>
        <v xml:space="preserve"> </v>
      </c>
    </row>
    <row r="21" spans="2:13" x14ac:dyDescent="0.3">
      <c r="B21" s="50"/>
      <c r="C21" s="50" t="s">
        <v>172</v>
      </c>
      <c r="D21" s="50"/>
      <c r="E21" s="50"/>
      <c r="F21" s="50"/>
      <c r="G21" s="50"/>
      <c r="H21" s="96">
        <f>SUBTOTAL(109,Table_SOW[Estimated hours])</f>
        <v>108</v>
      </c>
      <c r="I21" s="86">
        <f>SUBTOTAL(109,Table_SOW[Cost, USD])</f>
        <v>2376</v>
      </c>
      <c r="J21" s="86">
        <f>SUBTOTAL(109,Table_SOW[Revenue, USD])</f>
        <v>3394.2857142857151</v>
      </c>
      <c r="K21" s="50"/>
    </row>
    <row r="22" spans="2:13" x14ac:dyDescent="0.3">
      <c r="G22" s="47"/>
      <c r="I22" s="56"/>
      <c r="J22" s="56"/>
      <c r="K22" s="79"/>
    </row>
    <row r="23" spans="2:13" ht="27" customHeight="1" x14ac:dyDescent="0.3">
      <c r="B23" s="171" t="s">
        <v>173</v>
      </c>
      <c r="C23" s="171"/>
      <c r="D23" s="170" t="s">
        <v>174</v>
      </c>
      <c r="E23" s="170"/>
      <c r="F23" s="170"/>
      <c r="G23" s="170"/>
      <c r="H23" s="170"/>
      <c r="I23" s="73" t="s">
        <v>166</v>
      </c>
      <c r="J23" s="73" t="s">
        <v>167</v>
      </c>
    </row>
    <row r="24" spans="2:13" ht="27" customHeight="1" x14ac:dyDescent="0.3">
      <c r="B24" s="172">
        <v>0.1</v>
      </c>
      <c r="C24" s="173"/>
      <c r="D24" s="170"/>
      <c r="E24" s="170"/>
      <c r="F24" s="170"/>
      <c r="G24" s="170"/>
      <c r="H24" s="170"/>
      <c r="I24" s="88">
        <f>Table_SOW[[#Totals],[Cost, USD]]*B24</f>
        <v>237.60000000000002</v>
      </c>
      <c r="J24" s="88">
        <f>I24/(1-'Project overview'!$C$43)</f>
        <v>339.4285714285715</v>
      </c>
      <c r="K24" s="47"/>
    </row>
    <row r="25" spans="2:13" x14ac:dyDescent="0.3">
      <c r="G25" s="47"/>
      <c r="K25" s="47"/>
    </row>
    <row r="26" spans="2:13" ht="27" customHeight="1" x14ac:dyDescent="0.3">
      <c r="B26" s="171" t="s">
        <v>175</v>
      </c>
      <c r="C26" s="171"/>
      <c r="D26" s="168" t="s">
        <v>176</v>
      </c>
      <c r="E26" s="89" t="s">
        <v>162</v>
      </c>
      <c r="F26" s="73" t="s">
        <v>163</v>
      </c>
      <c r="G26" s="82" t="s">
        <v>164</v>
      </c>
      <c r="H26" s="83" t="s">
        <v>165</v>
      </c>
      <c r="I26" s="73" t="s">
        <v>166</v>
      </c>
      <c r="J26" s="73" t="s">
        <v>167</v>
      </c>
      <c r="K26" s="47"/>
    </row>
    <row r="27" spans="2:13" ht="27" customHeight="1" x14ac:dyDescent="0.3">
      <c r="B27" s="172">
        <v>0.1</v>
      </c>
      <c r="C27" s="173"/>
      <c r="D27" s="168"/>
      <c r="E27" s="87"/>
      <c r="F27" s="74"/>
      <c r="G27" s="88">
        <f>IF(E27="",0,VLOOKUP(E27&amp;F27,Table_Rates[#All],4,FALSE))</f>
        <v>0</v>
      </c>
      <c r="H27" s="84">
        <f>Table_SOW[[#Totals],[Estimated hours]]*B27</f>
        <v>10.8</v>
      </c>
      <c r="I27" s="88">
        <f>G27*H27</f>
        <v>0</v>
      </c>
      <c r="J27" s="88">
        <f>I27/(1-'Project overview'!$C$43)</f>
        <v>0</v>
      </c>
      <c r="K27" s="47"/>
      <c r="L27" s="190" t="str">
        <f>IF(ISERROR(G27),"Calculation is not correct, check resource role and rate!"," ")</f>
        <v xml:space="preserve"> </v>
      </c>
      <c r="M27" s="190"/>
    </row>
    <row r="28" spans="2:13" ht="4.95" customHeight="1" x14ac:dyDescent="0.3">
      <c r="G28" s="47"/>
      <c r="K28" s="47"/>
    </row>
    <row r="29" spans="2:13" ht="14.4" x14ac:dyDescent="0.3">
      <c r="F29" s="167" t="s">
        <v>177</v>
      </c>
      <c r="G29" s="167"/>
      <c r="H29" s="167"/>
      <c r="I29" s="75">
        <f>Table_SOW[[#Totals],[Cost, USD]]+I27+I24</f>
        <v>2613.6</v>
      </c>
      <c r="J29" s="75">
        <f>Table_SOW[[#Totals],[Revenue, USD]]+J27+J24</f>
        <v>3733.7142857142867</v>
      </c>
      <c r="K29" s="47"/>
    </row>
    <row r="30" spans="2:13" x14ac:dyDescent="0.3">
      <c r="G30" s="47"/>
      <c r="K30" s="56"/>
    </row>
    <row r="31" spans="2:13" ht="15.6" x14ac:dyDescent="0.3">
      <c r="B31" s="174" t="s">
        <v>178</v>
      </c>
      <c r="C31" s="174"/>
      <c r="D31" s="174"/>
      <c r="G31" s="47"/>
      <c r="K31" s="56"/>
    </row>
    <row r="32" spans="2:13" ht="4.95" customHeight="1" x14ac:dyDescent="0.3">
      <c r="G32" s="47"/>
      <c r="K32" s="47"/>
    </row>
    <row r="33" spans="2:11" ht="27.6" x14ac:dyDescent="0.3">
      <c r="B33" s="73" t="s">
        <v>160</v>
      </c>
      <c r="C33" s="73" t="s">
        <v>179</v>
      </c>
      <c r="D33" s="73" t="s">
        <v>180</v>
      </c>
      <c r="E33" s="73" t="s">
        <v>181</v>
      </c>
      <c r="F33" s="171" t="s">
        <v>182</v>
      </c>
      <c r="G33" s="171"/>
      <c r="H33" s="171"/>
      <c r="I33" s="109" t="s">
        <v>166</v>
      </c>
      <c r="J33" s="73" t="s">
        <v>167</v>
      </c>
      <c r="K33" s="56"/>
    </row>
    <row r="34" spans="2:11" ht="38.25" customHeight="1" x14ac:dyDescent="0.3">
      <c r="B34" s="71">
        <v>1</v>
      </c>
      <c r="C34" s="74" t="s">
        <v>183</v>
      </c>
      <c r="D34" s="74" t="s">
        <v>184</v>
      </c>
      <c r="E34" s="74" t="s">
        <v>185</v>
      </c>
      <c r="F34" s="192" t="s">
        <v>186</v>
      </c>
      <c r="G34" s="193"/>
      <c r="H34" s="194"/>
      <c r="I34" s="110">
        <v>0</v>
      </c>
      <c r="J34" s="88">
        <f>I34/(1-'Project overview'!$C$43)</f>
        <v>0</v>
      </c>
      <c r="K34" s="56"/>
    </row>
    <row r="35" spans="2:11" x14ac:dyDescent="0.3">
      <c r="B35" s="71">
        <v>2</v>
      </c>
      <c r="C35" s="74" t="s">
        <v>187</v>
      </c>
      <c r="D35" s="74"/>
      <c r="E35" s="74" t="s">
        <v>188</v>
      </c>
      <c r="F35" s="192"/>
      <c r="G35" s="193"/>
      <c r="H35" s="194"/>
      <c r="I35" s="110">
        <v>0</v>
      </c>
      <c r="J35" s="88">
        <f>I35/(1-'Project overview'!$C$43)</f>
        <v>0</v>
      </c>
      <c r="K35" s="56"/>
    </row>
    <row r="36" spans="2:11" x14ac:dyDescent="0.3">
      <c r="B36" s="71">
        <v>3</v>
      </c>
      <c r="C36" s="74" t="s">
        <v>189</v>
      </c>
      <c r="D36" s="74"/>
      <c r="E36" s="74" t="s">
        <v>190</v>
      </c>
      <c r="F36" s="195"/>
      <c r="G36" s="195"/>
      <c r="H36" s="195"/>
      <c r="I36" s="111">
        <v>0</v>
      </c>
      <c r="J36" s="88">
        <f>I36/(1-'Project overview'!$C$43)</f>
        <v>0</v>
      </c>
      <c r="K36" s="56"/>
    </row>
    <row r="37" spans="2:11" ht="4.95" customHeight="1" x14ac:dyDescent="0.3">
      <c r="G37" s="47"/>
      <c r="K37" s="47"/>
    </row>
    <row r="38" spans="2:11" ht="14.4" x14ac:dyDescent="0.3">
      <c r="F38" s="167" t="s">
        <v>191</v>
      </c>
      <c r="G38" s="167"/>
      <c r="H38" s="167"/>
      <c r="I38" s="75">
        <f>SUM(I34:I36)</f>
        <v>0</v>
      </c>
      <c r="J38" s="75">
        <f>SUM(J34:J36)</f>
        <v>0</v>
      </c>
      <c r="K38" s="56"/>
    </row>
    <row r="39" spans="2:11" x14ac:dyDescent="0.3">
      <c r="G39" s="47"/>
      <c r="K39" s="56"/>
    </row>
    <row r="40" spans="2:11" ht="15.6" x14ac:dyDescent="0.3">
      <c r="B40" s="174" t="s">
        <v>192</v>
      </c>
      <c r="C40" s="174"/>
      <c r="D40" s="174"/>
      <c r="G40" s="47"/>
      <c r="K40" s="56"/>
    </row>
    <row r="41" spans="2:11" ht="4.95" customHeight="1" x14ac:dyDescent="0.3">
      <c r="G41" s="47"/>
      <c r="K41" s="47"/>
    </row>
    <row r="42" spans="2:11" ht="27.6" x14ac:dyDescent="0.3">
      <c r="B42" s="73" t="s">
        <v>160</v>
      </c>
      <c r="C42" s="73" t="s">
        <v>193</v>
      </c>
      <c r="D42" s="73" t="s">
        <v>194</v>
      </c>
      <c r="E42" s="196" t="s">
        <v>195</v>
      </c>
      <c r="F42" s="197"/>
      <c r="G42" s="197"/>
      <c r="H42" s="198"/>
      <c r="I42" s="109" t="s">
        <v>166</v>
      </c>
      <c r="J42" s="73" t="s">
        <v>167</v>
      </c>
      <c r="K42" s="56"/>
    </row>
    <row r="43" spans="2:11" ht="69" x14ac:dyDescent="0.3">
      <c r="B43" s="115">
        <v>1</v>
      </c>
      <c r="C43" s="74" t="s">
        <v>196</v>
      </c>
      <c r="D43" s="74" t="s">
        <v>197</v>
      </c>
      <c r="E43" s="199" t="s">
        <v>198</v>
      </c>
      <c r="F43" s="200"/>
      <c r="G43" s="200"/>
      <c r="H43" s="201"/>
      <c r="I43" s="112"/>
      <c r="J43" s="88">
        <f>I43/(1-'Project overview'!$C$43)</f>
        <v>0</v>
      </c>
      <c r="K43" s="56"/>
    </row>
    <row r="44" spans="2:11" ht="69" x14ac:dyDescent="0.3">
      <c r="B44" s="115">
        <v>2</v>
      </c>
      <c r="C44" s="74" t="s">
        <v>199</v>
      </c>
      <c r="D44" s="74" t="s">
        <v>197</v>
      </c>
      <c r="E44" s="199" t="s">
        <v>198</v>
      </c>
      <c r="F44" s="200"/>
      <c r="G44" s="200"/>
      <c r="H44" s="201"/>
      <c r="I44" s="112">
        <v>0</v>
      </c>
      <c r="J44" s="88">
        <f>I44/(1-'Project overview'!$C$43)</f>
        <v>0</v>
      </c>
      <c r="K44" s="56"/>
    </row>
    <row r="45" spans="2:11" ht="69" x14ac:dyDescent="0.3">
      <c r="B45" s="115">
        <v>3</v>
      </c>
      <c r="C45" s="74" t="s">
        <v>200</v>
      </c>
      <c r="D45" s="74" t="s">
        <v>197</v>
      </c>
      <c r="E45" s="199" t="s">
        <v>198</v>
      </c>
      <c r="F45" s="200"/>
      <c r="G45" s="200"/>
      <c r="H45" s="201"/>
      <c r="I45" s="112">
        <v>0</v>
      </c>
      <c r="J45" s="88">
        <f>I45/(1-'Project overview'!$C$43)</f>
        <v>0</v>
      </c>
      <c r="K45" s="47"/>
    </row>
    <row r="46" spans="2:11" ht="4.95" customHeight="1" x14ac:dyDescent="0.3">
      <c r="G46" s="47"/>
      <c r="K46" s="47"/>
    </row>
    <row r="47" spans="2:11" ht="14.4" x14ac:dyDescent="0.3">
      <c r="F47" s="165" t="s">
        <v>201</v>
      </c>
      <c r="G47" s="165"/>
      <c r="H47" s="191"/>
      <c r="I47" s="75">
        <f>SUM(I43:I45)</f>
        <v>0</v>
      </c>
      <c r="J47" s="75">
        <f>SUM(J43:J45)</f>
        <v>0</v>
      </c>
      <c r="K47" s="56"/>
    </row>
    <row r="48" spans="2:11" ht="4.95" customHeight="1" x14ac:dyDescent="0.3">
      <c r="F48" s="92"/>
      <c r="G48" s="92"/>
      <c r="H48" s="92"/>
      <c r="K48" s="47"/>
    </row>
    <row r="49" spans="2:13" ht="14.4" thickBot="1" x14ac:dyDescent="0.35">
      <c r="G49" s="47"/>
      <c r="I49" s="93"/>
      <c r="J49" s="93"/>
      <c r="K49" s="56"/>
    </row>
    <row r="50" spans="2:13" ht="4.95" customHeight="1" thickTop="1" x14ac:dyDescent="0.3">
      <c r="F50" s="94"/>
      <c r="G50" s="94"/>
      <c r="H50" s="94"/>
      <c r="K50" s="47"/>
    </row>
    <row r="51" spans="2:13" ht="15.6" x14ac:dyDescent="0.3">
      <c r="B51" s="174" t="s">
        <v>202</v>
      </c>
      <c r="C51" s="174"/>
      <c r="D51" s="174"/>
      <c r="F51" s="166" t="s">
        <v>203</v>
      </c>
      <c r="G51" s="166"/>
      <c r="H51" s="166"/>
      <c r="I51" s="95">
        <f>I29+I38+I47</f>
        <v>2613.6</v>
      </c>
      <c r="J51" s="95">
        <f>J29+J38+J47</f>
        <v>3733.7142857142867</v>
      </c>
      <c r="K51" s="56"/>
    </row>
    <row r="52" spans="2:13" ht="4.95" customHeight="1" x14ac:dyDescent="0.3">
      <c r="G52" s="47"/>
      <c r="K52" s="47"/>
    </row>
    <row r="53" spans="2:13" ht="27" customHeight="1" x14ac:dyDescent="0.3">
      <c r="B53" s="171" t="s">
        <v>204</v>
      </c>
      <c r="C53" s="171"/>
      <c r="D53" s="168" t="s">
        <v>176</v>
      </c>
      <c r="E53" s="89" t="s">
        <v>162</v>
      </c>
      <c r="F53" s="73" t="s">
        <v>163</v>
      </c>
      <c r="G53" s="82" t="s">
        <v>164</v>
      </c>
      <c r="H53" s="83" t="s">
        <v>165</v>
      </c>
      <c r="I53" s="73" t="s">
        <v>166</v>
      </c>
      <c r="J53" s="73" t="s">
        <v>167</v>
      </c>
      <c r="K53" s="47"/>
    </row>
    <row r="54" spans="2:13" ht="42.45" customHeight="1" x14ac:dyDescent="0.3">
      <c r="B54" s="172">
        <v>0.1</v>
      </c>
      <c r="C54" s="173"/>
      <c r="D54" s="168"/>
      <c r="E54" s="87"/>
      <c r="F54" s="74"/>
      <c r="G54" s="88">
        <f>IF(E54="",0.1,VLOOKUP(E54&amp;F54,Table_Rates[#All],4,FALSE))</f>
        <v>0.1</v>
      </c>
      <c r="H54" s="84">
        <f>((Table_SOW[[#Totals],[Estimated hours]]+H27)*B54)+(B54*(I24+I38+I47))/G54</f>
        <v>249.48000000000005</v>
      </c>
      <c r="I54" s="88">
        <f>G54*H54</f>
        <v>24.948000000000008</v>
      </c>
      <c r="J54" s="88">
        <f>I54/(1-'Project overview'!$C$43)</f>
        <v>35.640000000000015</v>
      </c>
      <c r="K54" s="47"/>
      <c r="L54" s="190" t="str">
        <f>IF(ISERROR(G54),"Calculation is not correct, check resource role and rate!"," ")</f>
        <v xml:space="preserve"> </v>
      </c>
      <c r="M54" s="190"/>
    </row>
    <row r="55" spans="2:13" ht="12" customHeight="1" x14ac:dyDescent="0.3">
      <c r="G55" s="47"/>
      <c r="K55" s="47"/>
    </row>
    <row r="56" spans="2:13" ht="15" customHeight="1" x14ac:dyDescent="0.3">
      <c r="B56" s="187" t="s">
        <v>205</v>
      </c>
      <c r="C56" s="188"/>
      <c r="D56" s="189"/>
      <c r="F56" s="165" t="s">
        <v>206</v>
      </c>
      <c r="G56" s="165"/>
      <c r="H56" s="165"/>
      <c r="I56" s="75">
        <f>I54</f>
        <v>24.948000000000008</v>
      </c>
      <c r="J56" s="75">
        <f>J54</f>
        <v>35.640000000000015</v>
      </c>
    </row>
    <row r="57" spans="2:13" ht="12.75" customHeight="1" x14ac:dyDescent="0.3">
      <c r="B57" s="181" t="s">
        <v>207</v>
      </c>
      <c r="C57" s="182"/>
      <c r="D57" s="90" t="s">
        <v>360</v>
      </c>
    </row>
    <row r="58" spans="2:13" ht="12.75" customHeight="1" x14ac:dyDescent="0.3">
      <c r="B58" s="183" t="s">
        <v>208</v>
      </c>
      <c r="C58" s="184"/>
      <c r="D58" s="90" t="s">
        <v>210</v>
      </c>
      <c r="I58" s="108"/>
      <c r="J58" s="108"/>
    </row>
    <row r="59" spans="2:13" ht="12.75" customHeight="1" x14ac:dyDescent="0.3">
      <c r="B59" s="183" t="s">
        <v>209</v>
      </c>
      <c r="C59" s="184"/>
      <c r="D59" s="90" t="s">
        <v>361</v>
      </c>
      <c r="G59" s="47"/>
      <c r="I59" s="56"/>
      <c r="J59" s="56"/>
    </row>
    <row r="60" spans="2:13" ht="12.75" customHeight="1" x14ac:dyDescent="0.3">
      <c r="B60" s="185" t="s">
        <v>211</v>
      </c>
      <c r="C60" s="186"/>
      <c r="D60" s="91" t="s">
        <v>212</v>
      </c>
      <c r="E60" s="79"/>
      <c r="H60" s="79"/>
    </row>
    <row r="61" spans="2:13" ht="12.75" customHeight="1" x14ac:dyDescent="0.3">
      <c r="B61" s="175" t="s">
        <v>213</v>
      </c>
      <c r="C61" s="176"/>
      <c r="D61" s="177"/>
    </row>
    <row r="62" spans="2:13" x14ac:dyDescent="0.3">
      <c r="B62" s="178"/>
      <c r="C62" s="179"/>
      <c r="D62" s="180"/>
    </row>
  </sheetData>
  <mergeCells count="34">
    <mergeCell ref="L27:M27"/>
    <mergeCell ref="L54:M54"/>
    <mergeCell ref="F47:H47"/>
    <mergeCell ref="B40:D40"/>
    <mergeCell ref="F34:H34"/>
    <mergeCell ref="F35:H35"/>
    <mergeCell ref="F36:H36"/>
    <mergeCell ref="E42:H42"/>
    <mergeCell ref="E43:H43"/>
    <mergeCell ref="E44:H44"/>
    <mergeCell ref="E45:H45"/>
    <mergeCell ref="F38:H38"/>
    <mergeCell ref="F33:H33"/>
    <mergeCell ref="B61:D62"/>
    <mergeCell ref="B53:C53"/>
    <mergeCell ref="B54:C54"/>
    <mergeCell ref="B57:C57"/>
    <mergeCell ref="B59:C59"/>
    <mergeCell ref="B60:C60"/>
    <mergeCell ref="B58:C58"/>
    <mergeCell ref="B56:D56"/>
    <mergeCell ref="D53:D54"/>
    <mergeCell ref="F56:H56"/>
    <mergeCell ref="F51:H51"/>
    <mergeCell ref="F29:H29"/>
    <mergeCell ref="D26:D27"/>
    <mergeCell ref="C2:D2"/>
    <mergeCell ref="D23:H24"/>
    <mergeCell ref="B23:C23"/>
    <mergeCell ref="B24:C24"/>
    <mergeCell ref="B26:C26"/>
    <mergeCell ref="B27:C27"/>
    <mergeCell ref="B31:D31"/>
    <mergeCell ref="B51:D51"/>
  </mergeCells>
  <conditionalFormatting sqref="E27:J27">
    <cfRule type="expression" dxfId="19" priority="2">
      <formula>ISERROR($G$27)</formula>
    </cfRule>
  </conditionalFormatting>
  <conditionalFormatting sqref="E54:J54">
    <cfRule type="expression" dxfId="18" priority="1">
      <formula>ISERROR($G$54)</formula>
    </cfRule>
  </conditionalFormatting>
  <dataValidations count="6">
    <dataValidation type="list" allowBlank="1" showInputMessage="1" showErrorMessage="1" sqref="E54 E27 E5:E20" xr:uid="{45CF113A-5830-4E79-B796-E1608B3E343C}">
      <formula1>Performer_Country</formula1>
    </dataValidation>
    <dataValidation type="list" allowBlank="1" showInputMessage="1" showErrorMessage="1" sqref="E34:E36" xr:uid="{7B1FFD77-06D9-46A2-B79F-DA26D8DC5569}">
      <formula1>"High,Medium,Low"</formula1>
    </dataValidation>
    <dataValidation type="list" allowBlank="1" showInputMessage="1" showErrorMessage="1" sqref="B24" xr:uid="{279F2758-CAC6-41F7-8578-BAA99110E5DF}">
      <formula1>"0%,5%,10%,20%"</formula1>
    </dataValidation>
    <dataValidation type="list" allowBlank="1" showInputMessage="1" showErrorMessage="1" sqref="B24 B27" xr:uid="{54141D79-E454-4BF2-A108-763CF773A799}">
      <formula1>"0%,5%,10%,20%,30%,50%"</formula1>
    </dataValidation>
    <dataValidation type="list" allowBlank="1" showInputMessage="1" showErrorMessage="1" sqref="F27 F5:F20" xr:uid="{E7819D7A-3000-47FF-BA27-F85CD01FD76F}">
      <formula1>INDIRECT(E5)</formula1>
    </dataValidation>
    <dataValidation type="list" allowBlank="1" showInputMessage="1" showErrorMessage="1" sqref="B54:C54" xr:uid="{5968FF41-2A11-4E77-A1A8-9825B8F583C6}">
      <formula1>"10%,15%,20%"</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BC54E3F-1A4F-4BC6-A489-2E14AC15AB98}">
          <x14:formula1>
            <xm:f>'Reference data'!$B$52:$B$53</xm:f>
          </x14:formula1>
          <xm:sqref>F54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85FA-AF6E-4676-9C81-8CBC0B3A5C6D}">
  <sheetPr codeName="Sheet6">
    <tabColor theme="2" tint="-9.9978637043366805E-2"/>
  </sheetPr>
  <dimension ref="A1:D12"/>
  <sheetViews>
    <sheetView showGridLines="0" zoomScale="115" zoomScaleNormal="115" workbookViewId="0">
      <selection activeCell="F16" sqref="F16"/>
    </sheetView>
  </sheetViews>
  <sheetFormatPr defaultColWidth="8.77734375" defaultRowHeight="14.4" x14ac:dyDescent="0.3"/>
  <cols>
    <col min="1" max="1" width="16.33203125" bestFit="1" customWidth="1"/>
    <col min="2" max="2" width="15" bestFit="1" customWidth="1"/>
    <col min="3" max="3" width="9.33203125" bestFit="1" customWidth="1"/>
    <col min="4" max="4" width="26.44140625" customWidth="1"/>
    <col min="5" max="5" width="17.77734375" bestFit="1" customWidth="1"/>
    <col min="6" max="6" width="22.33203125" bestFit="1" customWidth="1"/>
    <col min="7" max="7" width="17.77734375" bestFit="1" customWidth="1"/>
    <col min="8" max="8" width="27.33203125" bestFit="1" customWidth="1"/>
    <col min="9" max="9" width="22.77734375" bestFit="1" customWidth="1"/>
    <col min="10" max="10" width="22.33203125" bestFit="1" customWidth="1"/>
    <col min="11" max="11" width="27.44140625" bestFit="1" customWidth="1"/>
    <col min="12" max="12" width="23" bestFit="1" customWidth="1"/>
    <col min="13" max="14" width="22.33203125" bestFit="1" customWidth="1"/>
    <col min="15" max="15" width="30.33203125" bestFit="1" customWidth="1"/>
    <col min="16" max="16" width="25.77734375" bestFit="1" customWidth="1"/>
    <col min="17" max="18" width="22.33203125" bestFit="1" customWidth="1"/>
    <col min="19" max="19" width="27.33203125" bestFit="1" customWidth="1"/>
    <col min="20" max="20" width="22.77734375" bestFit="1" customWidth="1"/>
    <col min="21" max="22" width="22.33203125" bestFit="1" customWidth="1"/>
    <col min="23" max="23" width="30.44140625" bestFit="1" customWidth="1"/>
    <col min="24" max="24" width="26.109375" bestFit="1" customWidth="1"/>
    <col min="25" max="26" width="22.33203125" bestFit="1" customWidth="1"/>
    <col min="27" max="27" width="29.109375" bestFit="1" customWidth="1"/>
    <col min="28" max="28" width="24.6640625" bestFit="1" customWidth="1"/>
    <col min="29" max="29" width="27.33203125" bestFit="1" customWidth="1"/>
    <col min="30" max="30" width="22.77734375" bestFit="1" customWidth="1"/>
  </cols>
  <sheetData>
    <row r="1" spans="1:4" x14ac:dyDescent="0.3">
      <c r="A1" s="202" t="s">
        <v>214</v>
      </c>
      <c r="B1" s="202"/>
      <c r="C1" s="202"/>
    </row>
    <row r="2" spans="1:4" x14ac:dyDescent="0.3">
      <c r="A2" s="99" t="s">
        <v>215</v>
      </c>
      <c r="B2" s="99" t="s">
        <v>216</v>
      </c>
      <c r="C2" s="99" t="s">
        <v>217</v>
      </c>
    </row>
    <row r="3" spans="1:4" x14ac:dyDescent="0.3">
      <c r="A3" s="100" t="str">
        <f>CONCATENATE('Project estimations_adv'!E27," ",'Project estimations_adv'!F27)</f>
        <v xml:space="preserve"> </v>
      </c>
      <c r="B3" s="101">
        <f>'Project estimations_adv'!H27</f>
        <v>10.8</v>
      </c>
      <c r="C3" s="102">
        <f>'Project estimations_adv'!I27</f>
        <v>0</v>
      </c>
    </row>
    <row r="4" spans="1:4" x14ac:dyDescent="0.3">
      <c r="A4" s="100" t="str">
        <f>CONCATENATE('Project estimations_adv'!E54," ",'Project estimations_adv'!F54)</f>
        <v xml:space="preserve"> </v>
      </c>
      <c r="B4" s="101">
        <f>'Project estimations_adv'!H54</f>
        <v>249.48000000000005</v>
      </c>
      <c r="C4" s="102">
        <f>'Project estimations_adv'!I54</f>
        <v>24.948000000000008</v>
      </c>
    </row>
    <row r="5" spans="1:4" x14ac:dyDescent="0.3">
      <c r="A5" s="103" t="s">
        <v>172</v>
      </c>
      <c r="B5" s="104">
        <f>B3+B4</f>
        <v>260.28000000000003</v>
      </c>
      <c r="C5" s="105">
        <f>C3+C4</f>
        <v>24.948000000000008</v>
      </c>
    </row>
    <row r="7" spans="1:4" ht="15" customHeight="1" x14ac:dyDescent="0.3">
      <c r="A7" s="202" t="s">
        <v>218</v>
      </c>
      <c r="B7" s="202"/>
      <c r="C7" s="202"/>
    </row>
    <row r="8" spans="1:4" x14ac:dyDescent="0.3">
      <c r="A8" s="99" t="s">
        <v>215</v>
      </c>
      <c r="B8" s="99" t="s">
        <v>216</v>
      </c>
      <c r="C8" s="99" t="s">
        <v>217</v>
      </c>
    </row>
    <row r="9" spans="1:4" x14ac:dyDescent="0.3">
      <c r="A9" s="106" t="s">
        <v>219</v>
      </c>
      <c r="B9" s="101"/>
      <c r="C9" s="102">
        <v>0</v>
      </c>
    </row>
    <row r="10" spans="1:4" x14ac:dyDescent="0.3">
      <c r="A10" s="106" t="s">
        <v>377</v>
      </c>
      <c r="B10" s="101">
        <v>108</v>
      </c>
      <c r="C10" s="102">
        <v>2376</v>
      </c>
    </row>
    <row r="11" spans="1:4" ht="17.25" customHeight="1" x14ac:dyDescent="0.3">
      <c r="A11" s="103" t="s">
        <v>172</v>
      </c>
      <c r="B11" s="104">
        <v>108</v>
      </c>
      <c r="C11" s="105">
        <v>2376</v>
      </c>
      <c r="D11" s="203" t="s">
        <v>362</v>
      </c>
    </row>
    <row r="12" spans="1:4" x14ac:dyDescent="0.3">
      <c r="D12" s="204"/>
    </row>
  </sheetData>
  <mergeCells count="3">
    <mergeCell ref="A7:C7"/>
    <mergeCell ref="A1:C1"/>
    <mergeCell ref="D11:D12"/>
  </mergeCells>
  <pageMargins left="0.7" right="0.7" top="0.75" bottom="0.75" header="0.3" footer="0.3"/>
  <pageSetup paperSize="9" orientation="portrait" horizontalDpi="0"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EF81-DDEE-48C6-8BE8-6AA158328F3A}">
  <sheetPr codeName="Sheet5">
    <tabColor theme="2" tint="-9.9978637043366805E-2"/>
  </sheetPr>
  <dimension ref="B3:E115"/>
  <sheetViews>
    <sheetView topLeftCell="A46" zoomScale="115" zoomScaleNormal="115" workbookViewId="0">
      <selection activeCell="E102" sqref="E102"/>
    </sheetView>
  </sheetViews>
  <sheetFormatPr defaultColWidth="9.109375" defaultRowHeight="13.8" x14ac:dyDescent="0.3"/>
  <cols>
    <col min="1" max="1" width="9.109375" style="50" customWidth="1"/>
    <col min="2" max="2" width="30.44140625" style="50" customWidth="1"/>
    <col min="3" max="3" width="28.6640625" style="50" customWidth="1"/>
    <col min="4" max="4" width="28.44140625" style="50" customWidth="1"/>
    <col min="5" max="16384" width="9.109375" style="50"/>
  </cols>
  <sheetData>
    <row r="3" spans="2:4" x14ac:dyDescent="0.3">
      <c r="B3" s="49" t="s">
        <v>220</v>
      </c>
      <c r="D3" s="98" t="s">
        <v>221</v>
      </c>
    </row>
    <row r="4" spans="2:4" x14ac:dyDescent="0.3">
      <c r="B4" s="51" t="s">
        <v>222</v>
      </c>
      <c r="D4" s="97" t="s">
        <v>222</v>
      </c>
    </row>
    <row r="5" spans="2:4" x14ac:dyDescent="0.3">
      <c r="B5" s="51" t="s">
        <v>223</v>
      </c>
      <c r="D5" s="54" t="s">
        <v>223</v>
      </c>
    </row>
    <row r="6" spans="2:4" x14ac:dyDescent="0.3">
      <c r="B6" s="51" t="s">
        <v>224</v>
      </c>
      <c r="D6" s="97" t="s">
        <v>224</v>
      </c>
    </row>
    <row r="7" spans="2:4" x14ac:dyDescent="0.3">
      <c r="B7" s="51" t="s">
        <v>225</v>
      </c>
      <c r="D7" s="54" t="s">
        <v>225</v>
      </c>
    </row>
    <row r="8" spans="2:4" x14ac:dyDescent="0.3">
      <c r="B8" s="51" t="s">
        <v>226</v>
      </c>
      <c r="D8" s="97" t="s">
        <v>226</v>
      </c>
    </row>
    <row r="9" spans="2:4" x14ac:dyDescent="0.3">
      <c r="B9" s="51" t="s">
        <v>169</v>
      </c>
      <c r="D9" s="54" t="s">
        <v>169</v>
      </c>
    </row>
    <row r="10" spans="2:4" x14ac:dyDescent="0.3">
      <c r="B10" s="51" t="s">
        <v>227</v>
      </c>
      <c r="D10" s="97" t="s">
        <v>228</v>
      </c>
    </row>
    <row r="11" spans="2:4" x14ac:dyDescent="0.3">
      <c r="B11" s="51" t="s">
        <v>229</v>
      </c>
      <c r="D11" s="54" t="s">
        <v>230</v>
      </c>
    </row>
    <row r="12" spans="2:4" x14ac:dyDescent="0.3">
      <c r="B12" s="51" t="s">
        <v>231</v>
      </c>
      <c r="D12" s="97" t="s">
        <v>232</v>
      </c>
    </row>
    <row r="13" spans="2:4" x14ac:dyDescent="0.3">
      <c r="B13" s="51" t="s">
        <v>233</v>
      </c>
      <c r="D13" s="54" t="s">
        <v>234</v>
      </c>
    </row>
    <row r="14" spans="2:4" x14ac:dyDescent="0.3">
      <c r="B14" s="51" t="s">
        <v>235</v>
      </c>
      <c r="D14" s="97" t="s">
        <v>356</v>
      </c>
    </row>
    <row r="15" spans="2:4" x14ac:dyDescent="0.3">
      <c r="B15" s="51" t="s">
        <v>358</v>
      </c>
      <c r="D15" s="54" t="s">
        <v>357</v>
      </c>
    </row>
    <row r="16" spans="2:4" x14ac:dyDescent="0.3">
      <c r="B16" s="51" t="s">
        <v>236</v>
      </c>
      <c r="D16" s="97" t="s">
        <v>18</v>
      </c>
    </row>
    <row r="17" spans="2:4" x14ac:dyDescent="0.3">
      <c r="B17" s="51" t="s">
        <v>238</v>
      </c>
      <c r="D17" s="54" t="s">
        <v>237</v>
      </c>
    </row>
    <row r="18" spans="2:4" x14ac:dyDescent="0.3">
      <c r="B18" s="51" t="s">
        <v>232</v>
      </c>
      <c r="D18" s="97" t="s">
        <v>171</v>
      </c>
    </row>
    <row r="19" spans="2:4" x14ac:dyDescent="0.3">
      <c r="B19" s="51" t="s">
        <v>234</v>
      </c>
      <c r="D19" s="54" t="s">
        <v>239</v>
      </c>
    </row>
    <row r="20" spans="2:4" x14ac:dyDescent="0.3">
      <c r="B20" s="51" t="s">
        <v>356</v>
      </c>
      <c r="D20" s="97" t="s">
        <v>241</v>
      </c>
    </row>
    <row r="21" spans="2:4" x14ac:dyDescent="0.3">
      <c r="B21" s="51" t="s">
        <v>357</v>
      </c>
      <c r="D21" s="54" t="s">
        <v>243</v>
      </c>
    </row>
    <row r="22" spans="2:4" x14ac:dyDescent="0.3">
      <c r="B22" s="51" t="s">
        <v>18</v>
      </c>
    </row>
    <row r="23" spans="2:4" x14ac:dyDescent="0.3">
      <c r="B23" s="51" t="s">
        <v>242</v>
      </c>
    </row>
    <row r="24" spans="2:4" x14ac:dyDescent="0.3">
      <c r="B24" s="51" t="s">
        <v>237</v>
      </c>
    </row>
    <row r="25" spans="2:4" x14ac:dyDescent="0.3">
      <c r="B25" s="51" t="s">
        <v>244</v>
      </c>
    </row>
    <row r="26" spans="2:4" x14ac:dyDescent="0.3">
      <c r="B26" s="51" t="s">
        <v>241</v>
      </c>
    </row>
    <row r="27" spans="2:4" x14ac:dyDescent="0.3">
      <c r="B27" s="51" t="s">
        <v>245</v>
      </c>
    </row>
    <row r="28" spans="2:4" x14ac:dyDescent="0.3">
      <c r="B28" s="51" t="s">
        <v>246</v>
      </c>
    </row>
    <row r="29" spans="2:4" x14ac:dyDescent="0.3">
      <c r="B29" s="51" t="s">
        <v>171</v>
      </c>
    </row>
    <row r="30" spans="2:4" x14ac:dyDescent="0.3">
      <c r="B30" s="51" t="s">
        <v>239</v>
      </c>
    </row>
    <row r="31" spans="2:4" x14ac:dyDescent="0.3">
      <c r="B31" s="51" t="s">
        <v>240</v>
      </c>
    </row>
    <row r="32" spans="2:4" x14ac:dyDescent="0.3">
      <c r="B32" s="51" t="s">
        <v>247</v>
      </c>
    </row>
    <row r="33" spans="2:2" x14ac:dyDescent="0.3">
      <c r="B33" s="51" t="s">
        <v>248</v>
      </c>
    </row>
    <row r="34" spans="2:2" x14ac:dyDescent="0.3">
      <c r="B34" s="51" t="s">
        <v>249</v>
      </c>
    </row>
    <row r="35" spans="2:2" x14ac:dyDescent="0.3">
      <c r="B35" s="51" t="s">
        <v>250</v>
      </c>
    </row>
    <row r="36" spans="2:2" x14ac:dyDescent="0.3">
      <c r="B36" s="51" t="s">
        <v>251</v>
      </c>
    </row>
    <row r="37" spans="2:2" x14ac:dyDescent="0.3">
      <c r="B37" s="51" t="s">
        <v>252</v>
      </c>
    </row>
    <row r="38" spans="2:2" x14ac:dyDescent="0.3">
      <c r="B38" s="52" t="s">
        <v>243</v>
      </c>
    </row>
    <row r="40" spans="2:2" x14ac:dyDescent="0.3">
      <c r="B40" s="59" t="s">
        <v>215</v>
      </c>
    </row>
    <row r="41" spans="2:2" x14ac:dyDescent="0.3">
      <c r="B41" s="51" t="s">
        <v>253</v>
      </c>
    </row>
    <row r="42" spans="2:2" x14ac:dyDescent="0.3">
      <c r="B42" s="51" t="s">
        <v>170</v>
      </c>
    </row>
    <row r="43" spans="2:2" x14ac:dyDescent="0.3">
      <c r="B43" s="51" t="s">
        <v>254</v>
      </c>
    </row>
    <row r="44" spans="2:2" x14ac:dyDescent="0.3">
      <c r="B44" s="51" t="s">
        <v>255</v>
      </c>
    </row>
    <row r="45" spans="2:2" x14ac:dyDescent="0.3">
      <c r="B45" s="51" t="s">
        <v>256</v>
      </c>
    </row>
    <row r="46" spans="2:2" x14ac:dyDescent="0.3">
      <c r="B46" s="51" t="s">
        <v>257</v>
      </c>
    </row>
    <row r="47" spans="2:2" x14ac:dyDescent="0.3">
      <c r="B47" s="51" t="s">
        <v>258</v>
      </c>
    </row>
    <row r="48" spans="2:2" x14ac:dyDescent="0.3">
      <c r="B48" s="51" t="s">
        <v>259</v>
      </c>
    </row>
    <row r="49" spans="2:5" x14ac:dyDescent="0.3">
      <c r="B49" s="51" t="s">
        <v>260</v>
      </c>
    </row>
    <row r="51" spans="2:5" x14ac:dyDescent="0.3">
      <c r="B51" s="80" t="s">
        <v>261</v>
      </c>
    </row>
    <row r="52" spans="2:5" x14ac:dyDescent="0.3">
      <c r="B52" s="50" t="s">
        <v>105</v>
      </c>
    </row>
    <row r="53" spans="2:5" x14ac:dyDescent="0.3">
      <c r="B53" s="50" t="s">
        <v>262</v>
      </c>
    </row>
    <row r="55" spans="2:5" x14ac:dyDescent="0.3">
      <c r="B55" s="80" t="s">
        <v>263</v>
      </c>
    </row>
    <row r="56" spans="2:5" x14ac:dyDescent="0.3">
      <c r="B56" s="50" t="s">
        <v>255</v>
      </c>
    </row>
    <row r="57" spans="2:5" x14ac:dyDescent="0.3">
      <c r="B57" s="50" t="s">
        <v>256</v>
      </c>
    </row>
    <row r="58" spans="2:5" x14ac:dyDescent="0.3">
      <c r="B58" s="50" t="s">
        <v>260</v>
      </c>
    </row>
    <row r="60" spans="2:5" ht="27.6" x14ac:dyDescent="0.3">
      <c r="B60" s="60" t="s">
        <v>264</v>
      </c>
      <c r="C60" s="61" t="s">
        <v>220</v>
      </c>
      <c r="D60" s="60" t="s">
        <v>215</v>
      </c>
      <c r="E60" s="62" t="s">
        <v>265</v>
      </c>
    </row>
    <row r="61" spans="2:5" hidden="1" x14ac:dyDescent="0.3">
      <c r="B61" s="54" t="str">
        <f>_xlfn.CONCAT(Table_Rates[[#This Row],[Country]],Table_Rates[[#This Row],[Role]])</f>
        <v>ArgentinaEngineer</v>
      </c>
      <c r="C61" s="54" t="s">
        <v>222</v>
      </c>
      <c r="D61" s="53" t="s">
        <v>170</v>
      </c>
      <c r="E61" s="55">
        <v>31</v>
      </c>
    </row>
    <row r="62" spans="2:5" hidden="1" x14ac:dyDescent="0.3">
      <c r="B62" s="54" t="str">
        <f>_xlfn.CONCAT(Table_Rates[[#This Row],[Country]],Table_Rates[[#This Row],[Role]])</f>
        <v>BrazilEngineer</v>
      </c>
      <c r="C62" s="54" t="s">
        <v>223</v>
      </c>
      <c r="D62" s="53" t="s">
        <v>170</v>
      </c>
      <c r="E62" s="55">
        <v>31</v>
      </c>
    </row>
    <row r="63" spans="2:5" hidden="1" x14ac:dyDescent="0.3">
      <c r="B63" s="54" t="str">
        <f>_xlfn.CONCAT(Table_Rates[[#This Row],[Country]],Table_Rates[[#This Row],[Role]])</f>
        <v>BrazilProject manager</v>
      </c>
      <c r="C63" s="54" t="s">
        <v>223</v>
      </c>
      <c r="D63" s="53" t="s">
        <v>105</v>
      </c>
      <c r="E63" s="55">
        <v>29</v>
      </c>
    </row>
    <row r="64" spans="2:5" hidden="1" x14ac:dyDescent="0.3">
      <c r="B64" s="54" t="str">
        <f>_xlfn.CONCAT(Table_Rates[[#This Row],[Country]],Table_Rates[[#This Row],[Role]])</f>
        <v>BulgariaArchitect</v>
      </c>
      <c r="C64" s="54" t="s">
        <v>224</v>
      </c>
      <c r="D64" s="53" t="s">
        <v>255</v>
      </c>
      <c r="E64" s="55">
        <v>75</v>
      </c>
    </row>
    <row r="65" spans="2:5" hidden="1" x14ac:dyDescent="0.3">
      <c r="B65" s="54" t="str">
        <f>_xlfn.CONCAT(Table_Rates[[#This Row],[Country]],Table_Rates[[#This Row],[Role]])</f>
        <v>BulgariaSenior engineer</v>
      </c>
      <c r="C65" s="54" t="s">
        <v>224</v>
      </c>
      <c r="D65" s="53" t="s">
        <v>254</v>
      </c>
      <c r="E65" s="55">
        <v>58</v>
      </c>
    </row>
    <row r="66" spans="2:5" hidden="1" x14ac:dyDescent="0.3">
      <c r="B66" s="54" t="str">
        <f>_xlfn.CONCAT(Table_Rates[[#This Row],[Country]],Table_Rates[[#This Row],[Role]])</f>
        <v>BulgariaProject manager</v>
      </c>
      <c r="C66" s="54" t="s">
        <v>224</v>
      </c>
      <c r="D66" s="53" t="s">
        <v>105</v>
      </c>
      <c r="E66" s="55">
        <v>63</v>
      </c>
    </row>
    <row r="67" spans="2:5" hidden="1" x14ac:dyDescent="0.3">
      <c r="B67" s="54" t="str">
        <f>_xlfn.CONCAT(Table_Rates[[#This Row],[Country]],Table_Rates[[#This Row],[Role]])</f>
        <v>CambodiaJunior engineer</v>
      </c>
      <c r="C67" s="54" t="s">
        <v>225</v>
      </c>
      <c r="D67" s="53" t="s">
        <v>253</v>
      </c>
      <c r="E67" s="55">
        <v>8</v>
      </c>
    </row>
    <row r="68" spans="2:5" hidden="1" x14ac:dyDescent="0.3">
      <c r="B68" s="54" t="str">
        <f>_xlfn.CONCAT(Table_Rates[[#This Row],[Country]],Table_Rates[[#This Row],[Role]])</f>
        <v>CambodiaEngineer</v>
      </c>
      <c r="C68" s="54" t="s">
        <v>225</v>
      </c>
      <c r="D68" s="53" t="s">
        <v>170</v>
      </c>
      <c r="E68" s="55">
        <v>15</v>
      </c>
    </row>
    <row r="69" spans="2:5" hidden="1" x14ac:dyDescent="0.3">
      <c r="B69" s="54" t="str">
        <f>_xlfn.CONCAT(Table_Rates[[#This Row],[Country]],Table_Rates[[#This Row],[Role]])</f>
        <v>CambodiaArchitect</v>
      </c>
      <c r="C69" s="54" t="s">
        <v>225</v>
      </c>
      <c r="D69" s="53" t="s">
        <v>255</v>
      </c>
      <c r="E69" s="55">
        <v>51</v>
      </c>
    </row>
    <row r="70" spans="2:5" hidden="1" x14ac:dyDescent="0.3">
      <c r="B70" s="54" t="str">
        <f>_xlfn.CONCAT(Table_Rates[[#This Row],[Country]],Table_Rates[[#This Row],[Role]])</f>
        <v>CambodiaProject coordinator</v>
      </c>
      <c r="C70" s="54" t="s">
        <v>225</v>
      </c>
      <c r="D70" s="53" t="s">
        <v>262</v>
      </c>
      <c r="E70" s="55">
        <v>21</v>
      </c>
    </row>
    <row r="71" spans="2:5" hidden="1" x14ac:dyDescent="0.3">
      <c r="B71" s="54" t="str">
        <f>_xlfn.CONCAT(Table_Rates[[#This Row],[Country]],Table_Rates[[#This Row],[Role]])</f>
        <v>CambodiaSenior engineer</v>
      </c>
      <c r="C71" s="54" t="s">
        <v>225</v>
      </c>
      <c r="D71" s="53" t="s">
        <v>254</v>
      </c>
      <c r="E71" s="55">
        <v>26</v>
      </c>
    </row>
    <row r="72" spans="2:5" hidden="1" x14ac:dyDescent="0.3">
      <c r="B72" s="54" t="str">
        <f>_xlfn.CONCAT(Table_Rates[[#This Row],[Country]],Table_Rates[[#This Row],[Role]])</f>
        <v>ChileEngineer</v>
      </c>
      <c r="C72" s="54" t="s">
        <v>226</v>
      </c>
      <c r="D72" s="53" t="s">
        <v>170</v>
      </c>
      <c r="E72" s="55">
        <v>31</v>
      </c>
    </row>
    <row r="73" spans="2:5" hidden="1" x14ac:dyDescent="0.3">
      <c r="B73" s="54" t="str">
        <f>_xlfn.CONCAT(Table_Rates[[#This Row],[Country]],Table_Rates[[#This Row],[Role]])</f>
        <v>ChileProject manager</v>
      </c>
      <c r="C73" s="54" t="s">
        <v>226</v>
      </c>
      <c r="D73" s="53" t="s">
        <v>105</v>
      </c>
      <c r="E73" s="55">
        <v>29</v>
      </c>
    </row>
    <row r="74" spans="2:5" hidden="1" x14ac:dyDescent="0.3">
      <c r="B74" s="54" t="str">
        <f>_xlfn.CONCAT(Table_Rates[[#This Row],[Country]],Table_Rates[[#This Row],[Role]])</f>
        <v>ColombiaEngineer</v>
      </c>
      <c r="C74" s="54" t="s">
        <v>169</v>
      </c>
      <c r="D74" s="53" t="s">
        <v>170</v>
      </c>
      <c r="E74" s="55">
        <v>31</v>
      </c>
    </row>
    <row r="75" spans="2:5" hidden="1" x14ac:dyDescent="0.3">
      <c r="B75" s="54" t="str">
        <f>_xlfn.CONCAT(Table_Rates[[#This Row],[Country]],Table_Rates[[#This Row],[Role]])</f>
        <v>ColombiaArchitect</v>
      </c>
      <c r="C75" s="54" t="s">
        <v>169</v>
      </c>
      <c r="D75" s="53" t="s">
        <v>255</v>
      </c>
      <c r="E75" s="55">
        <v>41</v>
      </c>
    </row>
    <row r="76" spans="2:5" hidden="1" x14ac:dyDescent="0.3">
      <c r="B76" s="54" t="str">
        <f>_xlfn.CONCAT(Table_Rates[[#This Row],[Country]],Table_Rates[[#This Row],[Role]])</f>
        <v>ColombiaProject manager</v>
      </c>
      <c r="C76" s="54" t="s">
        <v>169</v>
      </c>
      <c r="D76" s="53" t="s">
        <v>105</v>
      </c>
      <c r="E76" s="55">
        <v>29</v>
      </c>
    </row>
    <row r="77" spans="2:5" hidden="1" x14ac:dyDescent="0.3">
      <c r="B77" s="54" t="str">
        <f>_xlfn.CONCAT(Table_Rates[[#This Row],[Country]],Table_Rates[[#This Row],[Role]])</f>
        <v>Costa_RicaProject manager</v>
      </c>
      <c r="C77" s="54" t="s">
        <v>228</v>
      </c>
      <c r="D77" s="53" t="s">
        <v>105</v>
      </c>
      <c r="E77" s="55">
        <v>29</v>
      </c>
    </row>
    <row r="78" spans="2:5" hidden="1" x14ac:dyDescent="0.3">
      <c r="B78" s="54" t="str">
        <f>_xlfn.CONCAT(Table_Rates[[#This Row],[Country]],Table_Rates[[#This Row],[Role]])</f>
        <v>Costa_RicaEngineer</v>
      </c>
      <c r="C78" s="54" t="s">
        <v>228</v>
      </c>
      <c r="D78" s="53" t="s">
        <v>170</v>
      </c>
      <c r="E78" s="55">
        <v>31</v>
      </c>
    </row>
    <row r="79" spans="2:5" hidden="1" x14ac:dyDescent="0.3">
      <c r="B79" s="54" t="str">
        <f>_xlfn.CONCAT(Table_Rates[[#This Row],[Country]],Table_Rates[[#This Row],[Role]])</f>
        <v>CustomerCustomer engineer</v>
      </c>
      <c r="C79" s="54" t="s">
        <v>230</v>
      </c>
      <c r="D79" s="53" t="s">
        <v>266</v>
      </c>
      <c r="E79" s="55">
        <v>0</v>
      </c>
    </row>
    <row r="80" spans="2:5" hidden="1" x14ac:dyDescent="0.3">
      <c r="B80" s="54" t="str">
        <f>_xlfn.CONCAT(Table_Rates[[#This Row],[Country]],Table_Rates[[#This Row],[Role]])</f>
        <v>HungaryArchitect</v>
      </c>
      <c r="C80" s="54" t="s">
        <v>232</v>
      </c>
      <c r="D80" s="53" t="s">
        <v>255</v>
      </c>
      <c r="E80" s="55">
        <v>75</v>
      </c>
    </row>
    <row r="81" spans="2:5" hidden="1" x14ac:dyDescent="0.3">
      <c r="B81" s="54" t="str">
        <f>_xlfn.CONCAT(Table_Rates[[#This Row],[Country]],Table_Rates[[#This Row],[Role]])</f>
        <v>IndiaArchitect</v>
      </c>
      <c r="C81" s="54" t="s">
        <v>234</v>
      </c>
      <c r="D81" s="53" t="s">
        <v>255</v>
      </c>
      <c r="E81" s="55">
        <v>21</v>
      </c>
    </row>
    <row r="82" spans="2:5" hidden="1" x14ac:dyDescent="0.3">
      <c r="B82" s="54" t="str">
        <f>_xlfn.CONCAT(Table_Rates[[#This Row],[Country]],Table_Rates[[#This Row],[Role]])</f>
        <v>IndiaEngineer</v>
      </c>
      <c r="C82" s="54" t="s">
        <v>234</v>
      </c>
      <c r="D82" s="53" t="s">
        <v>170</v>
      </c>
      <c r="E82" s="55">
        <v>13</v>
      </c>
    </row>
    <row r="83" spans="2:5" hidden="1" x14ac:dyDescent="0.3">
      <c r="B83" s="54" t="str">
        <f>_xlfn.CONCAT(Table_Rates[[#This Row],[Country]],Table_Rates[[#This Row],[Role]])</f>
        <v>IndiaSupport engineer</v>
      </c>
      <c r="C83" s="54" t="s">
        <v>234</v>
      </c>
      <c r="D83" s="53" t="s">
        <v>267</v>
      </c>
      <c r="E83" s="55">
        <v>9</v>
      </c>
    </row>
    <row r="84" spans="2:5" hidden="1" x14ac:dyDescent="0.3">
      <c r="B84" s="54" t="str">
        <f>_xlfn.CONCAT(Table_Rates[[#This Row],[Country]],Table_Rates[[#This Row],[Role]])</f>
        <v>IndiaJunior engineer</v>
      </c>
      <c r="C84" s="54" t="s">
        <v>234</v>
      </c>
      <c r="D84" s="53" t="s">
        <v>253</v>
      </c>
      <c r="E84" s="55">
        <v>7</v>
      </c>
    </row>
    <row r="85" spans="2:5" hidden="1" x14ac:dyDescent="0.3">
      <c r="B85" s="54" t="str">
        <f>_xlfn.CONCAT(Table_Rates[[#This Row],[Country]],Table_Rates[[#This Row],[Role]])</f>
        <v>IndiaTrainee</v>
      </c>
      <c r="C85" s="54" t="s">
        <v>234</v>
      </c>
      <c r="D85" s="53" t="s">
        <v>268</v>
      </c>
      <c r="E85" s="55">
        <v>5</v>
      </c>
    </row>
    <row r="86" spans="2:5" hidden="1" x14ac:dyDescent="0.3">
      <c r="B86" s="54" t="str">
        <f>_xlfn.CONCAT(Table_Rates[[#This Row],[Country]],Table_Rates[[#This Row],[Role]])</f>
        <v>IndiaProject manager</v>
      </c>
      <c r="C86" s="54" t="s">
        <v>234</v>
      </c>
      <c r="D86" s="53" t="s">
        <v>105</v>
      </c>
      <c r="E86" s="55">
        <v>18</v>
      </c>
    </row>
    <row r="87" spans="2:5" hidden="1" x14ac:dyDescent="0.3">
      <c r="B87" s="54" t="str">
        <f>_xlfn.CONCAT(Table_Rates[[#This Row],[Country]],Table_Rates[[#This Row],[Role]])</f>
        <v>IndiaSenior engineer</v>
      </c>
      <c r="C87" s="54" t="s">
        <v>234</v>
      </c>
      <c r="D87" s="53" t="s">
        <v>254</v>
      </c>
      <c r="E87" s="55">
        <v>19</v>
      </c>
    </row>
    <row r="88" spans="2:5" hidden="1" x14ac:dyDescent="0.3">
      <c r="B88" s="54" t="str">
        <f>_xlfn.CONCAT(Table_Rates[[#This Row],[Country]],Table_Rates[[#This Row],[Role]])</f>
        <v>LatviaJunior engineer</v>
      </c>
      <c r="C88" s="54" t="s">
        <v>356</v>
      </c>
      <c r="D88" s="53" t="s">
        <v>253</v>
      </c>
      <c r="E88" s="55">
        <v>32</v>
      </c>
    </row>
    <row r="89" spans="2:5" hidden="1" x14ac:dyDescent="0.3">
      <c r="B89" s="54" t="str">
        <f>_xlfn.CONCAT(Table_Rates[[#This Row],[Country]],Table_Rates[[#This Row],[Role]])</f>
        <v>LatviaEngineer</v>
      </c>
      <c r="C89" s="54" t="s">
        <v>356</v>
      </c>
      <c r="D89" s="53" t="s">
        <v>170</v>
      </c>
      <c r="E89" s="55">
        <v>47</v>
      </c>
    </row>
    <row r="90" spans="2:5" hidden="1" x14ac:dyDescent="0.3">
      <c r="B90" s="54" t="str">
        <f>_xlfn.CONCAT(Table_Rates[[#This Row],[Country]],Table_Rates[[#This Row],[Role]])</f>
        <v>LatviaProject manager</v>
      </c>
      <c r="C90" s="54" t="s">
        <v>356</v>
      </c>
      <c r="D90" s="53" t="s">
        <v>105</v>
      </c>
      <c r="E90" s="55">
        <v>63</v>
      </c>
    </row>
    <row r="91" spans="2:5" hidden="1" x14ac:dyDescent="0.3">
      <c r="B91" s="54" t="str">
        <f>_xlfn.CONCAT(Table_Rates[[#This Row],[Country]],Table_Rates[[#This Row],[Role]])</f>
        <v>LatviaArchitect</v>
      </c>
      <c r="C91" s="54" t="s">
        <v>356</v>
      </c>
      <c r="D91" s="53" t="s">
        <v>255</v>
      </c>
      <c r="E91" s="55">
        <v>75</v>
      </c>
    </row>
    <row r="92" spans="2:5" hidden="1" x14ac:dyDescent="0.3">
      <c r="B92" s="54" t="str">
        <f>_xlfn.CONCAT(Table_Rates[[#This Row],[Country]],Table_Rates[[#This Row],[Role]])</f>
        <v>LithuaniaJunior engineer</v>
      </c>
      <c r="C92" s="54" t="s">
        <v>357</v>
      </c>
      <c r="D92" s="53" t="s">
        <v>253</v>
      </c>
      <c r="E92" s="55">
        <v>32</v>
      </c>
    </row>
    <row r="93" spans="2:5" hidden="1" x14ac:dyDescent="0.3">
      <c r="B93" s="54" t="str">
        <f>_xlfn.CONCAT(Table_Rates[[#This Row],[Country]],Table_Rates[[#This Row],[Role]])</f>
        <v>LithuaniaSenior engineer</v>
      </c>
      <c r="C93" s="54" t="s">
        <v>357</v>
      </c>
      <c r="D93" s="53" t="s">
        <v>254</v>
      </c>
      <c r="E93" s="55">
        <v>58</v>
      </c>
    </row>
    <row r="94" spans="2:5" hidden="1" x14ac:dyDescent="0.3">
      <c r="B94" s="54" t="str">
        <f>_xlfn.CONCAT(Table_Rates[[#This Row],[Country]],Table_Rates[[#This Row],[Role]])</f>
        <v>LithuaniaProject manager</v>
      </c>
      <c r="C94" s="54" t="s">
        <v>357</v>
      </c>
      <c r="D94" s="53" t="s">
        <v>105</v>
      </c>
      <c r="E94" s="55">
        <v>63</v>
      </c>
    </row>
    <row r="95" spans="2:5" hidden="1" x14ac:dyDescent="0.3">
      <c r="B95" s="54" t="str">
        <f>_xlfn.CONCAT(Table_Rates[[#This Row],[Country]],Table_Rates[[#This Row],[Role]])</f>
        <v>LithuaniaArchitect</v>
      </c>
      <c r="C95" s="54" t="s">
        <v>357</v>
      </c>
      <c r="D95" s="53" t="s">
        <v>255</v>
      </c>
      <c r="E95" s="55">
        <v>75</v>
      </c>
    </row>
    <row r="96" spans="2:5" x14ac:dyDescent="0.3">
      <c r="B96" s="54" t="str">
        <f>_xlfn.CONCAT(Table_Rates[[#This Row],[Country]],Table_Rates[[#This Row],[Role]])</f>
        <v>MalaysiaArchitect</v>
      </c>
      <c r="C96" s="54" t="s">
        <v>18</v>
      </c>
      <c r="D96" s="53" t="s">
        <v>255</v>
      </c>
      <c r="E96" s="55">
        <v>43</v>
      </c>
    </row>
    <row r="97" spans="2:5" x14ac:dyDescent="0.3">
      <c r="B97" s="54" t="str">
        <f>_xlfn.CONCAT(Table_Rates[[#This Row],[Country]],Table_Rates[[#This Row],[Role]])</f>
        <v>MalaysiaEngineer</v>
      </c>
      <c r="C97" s="54" t="s">
        <v>18</v>
      </c>
      <c r="D97" s="53" t="s">
        <v>170</v>
      </c>
      <c r="E97" s="55">
        <v>22</v>
      </c>
    </row>
    <row r="98" spans="2:5" x14ac:dyDescent="0.3">
      <c r="B98" s="54" t="str">
        <f>_xlfn.CONCAT(Table_Rates[[#This Row],[Country]],Table_Rates[[#This Row],[Role]])</f>
        <v>MalaysiaTrainee</v>
      </c>
      <c r="C98" s="54" t="s">
        <v>18</v>
      </c>
      <c r="D98" s="53" t="s">
        <v>268</v>
      </c>
      <c r="E98" s="55">
        <v>7</v>
      </c>
    </row>
    <row r="99" spans="2:5" x14ac:dyDescent="0.3">
      <c r="B99" s="54" t="str">
        <f>_xlfn.CONCAT(Table_Rates[[#This Row],[Country]],Table_Rates[[#This Row],[Role]])</f>
        <v>MalaysiaJunior engineer</v>
      </c>
      <c r="C99" s="54" t="s">
        <v>18</v>
      </c>
      <c r="D99" s="53" t="s">
        <v>253</v>
      </c>
      <c r="E99" s="55">
        <v>16</v>
      </c>
    </row>
    <row r="100" spans="2:5" x14ac:dyDescent="0.3">
      <c r="B100" s="54" t="str">
        <f>_xlfn.CONCAT(Table_Rates[[#This Row],[Country]],Table_Rates[[#This Row],[Role]])</f>
        <v>MalaysiaService delivery manager</v>
      </c>
      <c r="C100" s="54" t="s">
        <v>18</v>
      </c>
      <c r="D100" s="53" t="s">
        <v>363</v>
      </c>
      <c r="E100" s="55">
        <v>49</v>
      </c>
    </row>
    <row r="101" spans="2:5" x14ac:dyDescent="0.3">
      <c r="B101" s="54" t="str">
        <f>_xlfn.CONCAT(Table_Rates[[#This Row],[Country]],Table_Rates[[#This Row],[Role]])</f>
        <v>MalaysiaProject manager</v>
      </c>
      <c r="C101" s="54" t="s">
        <v>18</v>
      </c>
      <c r="D101" s="53" t="s">
        <v>105</v>
      </c>
      <c r="E101" s="55">
        <v>39</v>
      </c>
    </row>
    <row r="102" spans="2:5" x14ac:dyDescent="0.3">
      <c r="B102" s="54" t="str">
        <f>_xlfn.CONCAT(Table_Rates[[#This Row],[Country]],Table_Rates[[#This Row],[Role]])</f>
        <v>MalaysiaSenior engineer</v>
      </c>
      <c r="C102" s="54" t="s">
        <v>18</v>
      </c>
      <c r="D102" s="53" t="s">
        <v>254</v>
      </c>
      <c r="E102" s="55">
        <v>31</v>
      </c>
    </row>
    <row r="103" spans="2:5" hidden="1" x14ac:dyDescent="0.3">
      <c r="B103" s="54" t="str">
        <f>_xlfn.CONCAT(Table_Rates[[#This Row],[Country]],Table_Rates[[#This Row],[Role]])</f>
        <v>PeruEngineer</v>
      </c>
      <c r="C103" s="54" t="s">
        <v>171</v>
      </c>
      <c r="D103" s="53" t="s">
        <v>170</v>
      </c>
      <c r="E103" s="55">
        <v>31</v>
      </c>
    </row>
    <row r="104" spans="2:5" hidden="1" x14ac:dyDescent="0.3">
      <c r="B104" s="54" t="str">
        <f>_xlfn.CONCAT(Table_Rates[[#This Row],[Country]],Table_Rates[[#This Row],[Role]])</f>
        <v>PeruProject manager</v>
      </c>
      <c r="C104" s="54" t="s">
        <v>171</v>
      </c>
      <c r="D104" s="53" t="s">
        <v>105</v>
      </c>
      <c r="E104" s="55">
        <v>29</v>
      </c>
    </row>
    <row r="105" spans="2:5" hidden="1" x14ac:dyDescent="0.3">
      <c r="B105" s="54" t="str">
        <f>_xlfn.CONCAT(Table_Rates[[#This Row],[Country]],Table_Rates[[#This Row],[Role]])</f>
        <v>PhilippinesJunior engineer</v>
      </c>
      <c r="C105" s="54" t="s">
        <v>239</v>
      </c>
      <c r="D105" s="53" t="s">
        <v>253</v>
      </c>
      <c r="E105" s="55">
        <v>13</v>
      </c>
    </row>
    <row r="106" spans="2:5" hidden="1" x14ac:dyDescent="0.3">
      <c r="B106" s="54" t="str">
        <f>_xlfn.CONCAT(Table_Rates[[#This Row],[Country]],Table_Rates[[#This Row],[Role]])</f>
        <v>PhilippinesEngineer</v>
      </c>
      <c r="C106" s="54" t="s">
        <v>239</v>
      </c>
      <c r="D106" s="53" t="s">
        <v>170</v>
      </c>
      <c r="E106" s="55">
        <v>22</v>
      </c>
    </row>
    <row r="107" spans="2:5" hidden="1" x14ac:dyDescent="0.3">
      <c r="B107" s="54" t="str">
        <f>_xlfn.CONCAT(Table_Rates[[#This Row],[Country]],Table_Rates[[#This Row],[Role]])</f>
        <v>PhilippinesArchitect</v>
      </c>
      <c r="C107" s="54" t="s">
        <v>239</v>
      </c>
      <c r="D107" s="53" t="s">
        <v>255</v>
      </c>
      <c r="E107" s="55">
        <v>51</v>
      </c>
    </row>
    <row r="108" spans="2:5" hidden="1" x14ac:dyDescent="0.3">
      <c r="B108" s="54" t="str">
        <f>_xlfn.CONCAT(Table_Rates[[#This Row],[Country]],Table_Rates[[#This Row],[Role]])</f>
        <v>PhilippinesProject coordinator</v>
      </c>
      <c r="C108" s="54" t="s">
        <v>239</v>
      </c>
      <c r="D108" s="53" t="s">
        <v>262</v>
      </c>
      <c r="E108" s="55">
        <v>18</v>
      </c>
    </row>
    <row r="109" spans="2:5" hidden="1" x14ac:dyDescent="0.3">
      <c r="B109" s="54" t="str">
        <f>_xlfn.CONCAT(Table_Rates[[#This Row],[Country]],Table_Rates[[#This Row],[Role]])</f>
        <v>ThailandJunior engineer</v>
      </c>
      <c r="C109" s="54" t="s">
        <v>241</v>
      </c>
      <c r="D109" s="53" t="s">
        <v>253</v>
      </c>
      <c r="E109" s="55">
        <v>28</v>
      </c>
    </row>
    <row r="110" spans="2:5" hidden="1" x14ac:dyDescent="0.3">
      <c r="B110" s="54" t="str">
        <f>_xlfn.CONCAT(Table_Rates[[#This Row],[Country]],Table_Rates[[#This Row],[Role]])</f>
        <v>VietnamArchitect</v>
      </c>
      <c r="C110" s="54" t="s">
        <v>243</v>
      </c>
      <c r="D110" s="53" t="s">
        <v>255</v>
      </c>
      <c r="E110" s="55">
        <v>51</v>
      </c>
    </row>
    <row r="111" spans="2:5" hidden="1" x14ac:dyDescent="0.3">
      <c r="B111" s="54" t="str">
        <f>_xlfn.CONCAT(Table_Rates[[#This Row],[Country]],Table_Rates[[#This Row],[Role]])</f>
        <v>VietnamEngineer</v>
      </c>
      <c r="C111" s="54" t="s">
        <v>243</v>
      </c>
      <c r="D111" s="53" t="s">
        <v>170</v>
      </c>
      <c r="E111" s="55">
        <v>15</v>
      </c>
    </row>
    <row r="112" spans="2:5" hidden="1" x14ac:dyDescent="0.3">
      <c r="B112" s="54" t="str">
        <f>_xlfn.CONCAT(Table_Rates[[#This Row],[Country]],Table_Rates[[#This Row],[Role]])</f>
        <v>VietnamJunior engineer</v>
      </c>
      <c r="C112" s="54" t="s">
        <v>243</v>
      </c>
      <c r="D112" s="53" t="s">
        <v>253</v>
      </c>
      <c r="E112" s="55">
        <v>10</v>
      </c>
    </row>
    <row r="113" spans="2:5" hidden="1" x14ac:dyDescent="0.3">
      <c r="B113" s="54" t="str">
        <f>_xlfn.CONCAT(Table_Rates[[#This Row],[Country]],Table_Rates[[#This Row],[Role]])</f>
        <v>VietnamProject manager</v>
      </c>
      <c r="C113" s="54" t="s">
        <v>243</v>
      </c>
      <c r="D113" s="53" t="s">
        <v>105</v>
      </c>
      <c r="E113" s="55">
        <v>26</v>
      </c>
    </row>
    <row r="114" spans="2:5" hidden="1" x14ac:dyDescent="0.3">
      <c r="B114" s="54" t="str">
        <f>_xlfn.CONCAT(Table_Rates[[#This Row],[Country]],Table_Rates[[#This Row],[Role]])</f>
        <v>VietnamSenior engineer</v>
      </c>
      <c r="C114" s="54" t="s">
        <v>243</v>
      </c>
      <c r="D114" s="53" t="s">
        <v>254</v>
      </c>
      <c r="E114" s="55">
        <v>23</v>
      </c>
    </row>
    <row r="115" spans="2:5" hidden="1" x14ac:dyDescent="0.3">
      <c r="B115" s="54" t="str">
        <f>_xlfn.CONCAT(Table_Rates[[#This Row],[Country]],Table_Rates[[#This Row],[Role]])</f>
        <v>VietnamSupport engineer</v>
      </c>
      <c r="C115" s="54" t="s">
        <v>243</v>
      </c>
      <c r="D115" s="53" t="s">
        <v>267</v>
      </c>
      <c r="E115" s="55">
        <v>15</v>
      </c>
    </row>
  </sheetData>
  <pageMargins left="0.7" right="0.7" top="0.75" bottom="0.75" header="0.3" footer="0.3"/>
  <pageSetup paperSize="9"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dimension ref="A1:M41"/>
  <sheetViews>
    <sheetView topLeftCell="A24" zoomScale="85" zoomScaleNormal="85" workbookViewId="0">
      <selection activeCell="E14" sqref="E14"/>
    </sheetView>
  </sheetViews>
  <sheetFormatPr defaultColWidth="8.77734375" defaultRowHeight="14.4" x14ac:dyDescent="0.3"/>
  <cols>
    <col min="1" max="1" width="17.77734375" style="3" customWidth="1"/>
    <col min="2" max="2" width="3.6640625" style="3" customWidth="1"/>
    <col min="3" max="3" width="10.33203125" style="3" customWidth="1"/>
    <col min="4" max="4" width="3.6640625" style="3" customWidth="1"/>
    <col min="5" max="5" width="23.77734375" style="3" customWidth="1"/>
    <col min="6" max="6" width="3.6640625" style="3" customWidth="1"/>
    <col min="7" max="7" width="16" style="3" customWidth="1"/>
    <col min="8" max="8" width="3.6640625" style="3" customWidth="1"/>
    <col min="9" max="9" width="15" style="3" customWidth="1"/>
    <col min="10" max="10" width="8.77734375" style="3"/>
    <col min="11" max="11" width="36.33203125" style="3" customWidth="1"/>
    <col min="12" max="12" width="3.6640625" style="3" customWidth="1"/>
    <col min="13" max="13" width="27.44140625" style="3" customWidth="1"/>
    <col min="14" max="16384" width="8.77734375" style="3"/>
  </cols>
  <sheetData>
    <row r="1" spans="1:13" ht="15" thickBot="1" x14ac:dyDescent="0.35"/>
    <row r="2" spans="1:13" ht="15.6" thickTop="1" thickBot="1" x14ac:dyDescent="0.35">
      <c r="A2" s="119" t="s">
        <v>269</v>
      </c>
      <c r="C2" s="119" t="s">
        <v>270</v>
      </c>
      <c r="E2" s="119" t="s">
        <v>271</v>
      </c>
      <c r="G2" s="119" t="s">
        <v>272</v>
      </c>
      <c r="I2" s="119" t="s">
        <v>273</v>
      </c>
      <c r="K2" s="119" t="s">
        <v>274</v>
      </c>
      <c r="M2" s="119" t="s">
        <v>275</v>
      </c>
    </row>
    <row r="3" spans="1:13" ht="29.4" thickTop="1" x14ac:dyDescent="0.3">
      <c r="A3" s="5" t="s">
        <v>276</v>
      </c>
      <c r="C3" s="120" t="s">
        <v>185</v>
      </c>
      <c r="E3" s="121" t="s">
        <v>277</v>
      </c>
      <c r="G3" s="120" t="s">
        <v>185</v>
      </c>
      <c r="I3" s="120" t="s">
        <v>278</v>
      </c>
      <c r="K3" s="122" t="s">
        <v>279</v>
      </c>
      <c r="M3" s="122" t="s">
        <v>280</v>
      </c>
    </row>
    <row r="4" spans="1:13" x14ac:dyDescent="0.3">
      <c r="A4" s="123" t="s">
        <v>230</v>
      </c>
      <c r="C4" s="120" t="s">
        <v>188</v>
      </c>
      <c r="E4" s="121" t="s">
        <v>281</v>
      </c>
      <c r="G4" s="120" t="s">
        <v>188</v>
      </c>
      <c r="I4" s="120" t="s">
        <v>282</v>
      </c>
      <c r="K4" s="122" t="s">
        <v>283</v>
      </c>
      <c r="M4" s="122" t="s">
        <v>284</v>
      </c>
    </row>
    <row r="5" spans="1:13" ht="28.8" x14ac:dyDescent="0.3">
      <c r="C5" s="120" t="s">
        <v>190</v>
      </c>
      <c r="E5" s="121" t="s">
        <v>285</v>
      </c>
      <c r="G5" s="120" t="s">
        <v>190</v>
      </c>
      <c r="J5" s="4"/>
      <c r="K5" s="6" t="s">
        <v>286</v>
      </c>
      <c r="M5" s="122" t="s">
        <v>287</v>
      </c>
    </row>
    <row r="6" spans="1:13" ht="28.8" x14ac:dyDescent="0.3">
      <c r="E6" s="121" t="s">
        <v>230</v>
      </c>
      <c r="K6" s="122" t="s">
        <v>288</v>
      </c>
      <c r="M6" s="122" t="s">
        <v>289</v>
      </c>
    </row>
    <row r="7" spans="1:13" x14ac:dyDescent="0.3">
      <c r="C7" s="4"/>
      <c r="E7" s="121" t="s">
        <v>170</v>
      </c>
      <c r="K7" s="122" t="s">
        <v>290</v>
      </c>
      <c r="M7" s="122" t="s">
        <v>291</v>
      </c>
    </row>
    <row r="8" spans="1:13" x14ac:dyDescent="0.3">
      <c r="C8" s="4"/>
      <c r="E8" s="121" t="s">
        <v>292</v>
      </c>
      <c r="K8" s="122" t="s">
        <v>293</v>
      </c>
      <c r="M8" s="122" t="s">
        <v>294</v>
      </c>
    </row>
    <row r="9" spans="1:13" x14ac:dyDescent="0.3">
      <c r="C9" s="4"/>
      <c r="E9" s="121" t="s">
        <v>105</v>
      </c>
      <c r="K9" s="122" t="s">
        <v>295</v>
      </c>
      <c r="M9" s="122" t="s">
        <v>296</v>
      </c>
    </row>
    <row r="10" spans="1:13" x14ac:dyDescent="0.3">
      <c r="K10" s="122" t="s">
        <v>297</v>
      </c>
      <c r="M10" s="122" t="s">
        <v>298</v>
      </c>
    </row>
    <row r="11" spans="1:13" x14ac:dyDescent="0.3">
      <c r="K11" s="122" t="s">
        <v>299</v>
      </c>
      <c r="M11" s="122" t="s">
        <v>300</v>
      </c>
    </row>
    <row r="12" spans="1:13" ht="15" thickBot="1" x14ac:dyDescent="0.35">
      <c r="K12" s="122" t="s">
        <v>301</v>
      </c>
      <c r="M12" s="122" t="s">
        <v>302</v>
      </c>
    </row>
    <row r="13" spans="1:13" ht="30" thickTop="1" thickBot="1" x14ac:dyDescent="0.35">
      <c r="E13" s="119" t="s">
        <v>303</v>
      </c>
      <c r="K13" s="122" t="s">
        <v>304</v>
      </c>
      <c r="M13" s="122" t="s">
        <v>305</v>
      </c>
    </row>
    <row r="14" spans="1:13" ht="15" thickTop="1" x14ac:dyDescent="0.3">
      <c r="E14" s="124" t="s">
        <v>170</v>
      </c>
      <c r="K14" s="122" t="s">
        <v>306</v>
      </c>
      <c r="M14" s="122" t="s">
        <v>307</v>
      </c>
    </row>
    <row r="15" spans="1:13" x14ac:dyDescent="0.3">
      <c r="E15" s="124" t="s">
        <v>308</v>
      </c>
      <c r="K15" s="122" t="s">
        <v>309</v>
      </c>
      <c r="M15" s="122" t="s">
        <v>310</v>
      </c>
    </row>
    <row r="16" spans="1:13" x14ac:dyDescent="0.3">
      <c r="E16" s="124" t="s">
        <v>292</v>
      </c>
      <c r="K16" s="122" t="s">
        <v>311</v>
      </c>
      <c r="M16" s="122" t="s">
        <v>312</v>
      </c>
    </row>
    <row r="17" spans="5:13" ht="28.8" x14ac:dyDescent="0.3">
      <c r="E17" s="124" t="s">
        <v>313</v>
      </c>
      <c r="K17" s="122" t="s">
        <v>314</v>
      </c>
      <c r="M17" s="122" t="s">
        <v>315</v>
      </c>
    </row>
    <row r="18" spans="5:13" x14ac:dyDescent="0.3">
      <c r="E18" s="124" t="s">
        <v>316</v>
      </c>
      <c r="K18" s="125" t="s">
        <v>317</v>
      </c>
      <c r="M18" s="122" t="s">
        <v>318</v>
      </c>
    </row>
    <row r="19" spans="5:13" x14ac:dyDescent="0.3">
      <c r="E19" s="124" t="s">
        <v>230</v>
      </c>
      <c r="K19" s="125" t="s">
        <v>319</v>
      </c>
      <c r="M19" s="122" t="s">
        <v>320</v>
      </c>
    </row>
    <row r="20" spans="5:13" x14ac:dyDescent="0.3">
      <c r="E20" s="124"/>
      <c r="K20" s="122" t="s">
        <v>321</v>
      </c>
      <c r="M20" s="122" t="s">
        <v>322</v>
      </c>
    </row>
    <row r="21" spans="5:13" x14ac:dyDescent="0.3">
      <c r="E21" s="124"/>
      <c r="K21" s="125" t="s">
        <v>323</v>
      </c>
      <c r="M21" s="122" t="s">
        <v>324</v>
      </c>
    </row>
    <row r="22" spans="5:13" ht="28.8" x14ac:dyDescent="0.3">
      <c r="K22" s="125" t="s">
        <v>325</v>
      </c>
      <c r="M22" s="122" t="s">
        <v>326</v>
      </c>
    </row>
    <row r="23" spans="5:13" x14ac:dyDescent="0.3">
      <c r="K23" s="125" t="s">
        <v>327</v>
      </c>
      <c r="M23" s="122" t="s">
        <v>328</v>
      </c>
    </row>
    <row r="24" spans="5:13" ht="28.8" x14ac:dyDescent="0.3">
      <c r="K24" s="125" t="s">
        <v>329</v>
      </c>
      <c r="M24" s="122" t="s">
        <v>330</v>
      </c>
    </row>
    <row r="25" spans="5:13" ht="28.8" x14ac:dyDescent="0.3">
      <c r="K25" s="125" t="s">
        <v>331</v>
      </c>
      <c r="M25" s="122" t="s">
        <v>332</v>
      </c>
    </row>
    <row r="26" spans="5:13" x14ac:dyDescent="0.3">
      <c r="K26" s="125" t="s">
        <v>333</v>
      </c>
      <c r="M26" s="122" t="s">
        <v>334</v>
      </c>
    </row>
    <row r="27" spans="5:13" x14ac:dyDescent="0.3">
      <c r="K27" s="125" t="s">
        <v>335</v>
      </c>
      <c r="M27" s="122" t="s">
        <v>336</v>
      </c>
    </row>
    <row r="28" spans="5:13" ht="28.8" x14ac:dyDescent="0.3">
      <c r="K28" s="125" t="s">
        <v>337</v>
      </c>
      <c r="M28" s="122" t="s">
        <v>338</v>
      </c>
    </row>
    <row r="29" spans="5:13" ht="28.8" x14ac:dyDescent="0.3">
      <c r="K29" s="125" t="s">
        <v>339</v>
      </c>
      <c r="M29" s="122" t="s">
        <v>340</v>
      </c>
    </row>
    <row r="30" spans="5:13" x14ac:dyDescent="0.3">
      <c r="K30" s="125" t="s">
        <v>341</v>
      </c>
      <c r="M30" s="122" t="s">
        <v>342</v>
      </c>
    </row>
    <row r="31" spans="5:13" x14ac:dyDescent="0.3">
      <c r="K31" s="125" t="s">
        <v>343</v>
      </c>
      <c r="M31" s="122" t="s">
        <v>344</v>
      </c>
    </row>
    <row r="32" spans="5:13" x14ac:dyDescent="0.3">
      <c r="K32" s="125" t="s">
        <v>345</v>
      </c>
      <c r="M32" s="122" t="s">
        <v>346</v>
      </c>
    </row>
    <row r="33" spans="11:11" x14ac:dyDescent="0.3">
      <c r="K33" s="125" t="s">
        <v>347</v>
      </c>
    </row>
    <row r="34" spans="11:11" x14ac:dyDescent="0.3">
      <c r="K34" s="125" t="s">
        <v>348</v>
      </c>
    </row>
    <row r="35" spans="11:11" x14ac:dyDescent="0.3">
      <c r="K35" s="125" t="s">
        <v>349</v>
      </c>
    </row>
    <row r="36" spans="11:11" x14ac:dyDescent="0.3">
      <c r="K36" s="125" t="s">
        <v>350</v>
      </c>
    </row>
    <row r="37" spans="11:11" x14ac:dyDescent="0.3">
      <c r="K37" s="125" t="s">
        <v>351</v>
      </c>
    </row>
    <row r="38" spans="11:11" x14ac:dyDescent="0.3">
      <c r="K38" s="125" t="s">
        <v>352</v>
      </c>
    </row>
    <row r="39" spans="11:11" x14ac:dyDescent="0.3">
      <c r="K39" s="125" t="s">
        <v>353</v>
      </c>
    </row>
    <row r="40" spans="11:11" x14ac:dyDescent="0.3">
      <c r="K40" s="125" t="s">
        <v>354</v>
      </c>
    </row>
    <row r="41" spans="11:11" x14ac:dyDescent="0.3">
      <c r="K41" s="125" t="s">
        <v>355</v>
      </c>
    </row>
  </sheetData>
  <sortState xmlns:xlrd2="http://schemas.microsoft.com/office/spreadsheetml/2017/richdata2" ref="K3:K41">
    <sortCondition ref="K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300792-d807-4a46-888a-0735f65af2aa" xsi:nil="true"/>
    <lcf76f155ced4ddcb4097134ff3c332f xmlns="df712297-caf3-45f7-abd8-4282d34c4fb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48BC1A0123CB4C9F631B633DFE2DD0" ma:contentTypeVersion="9" ma:contentTypeDescription="Создание документа." ma:contentTypeScope="" ma:versionID="0ee9458040be71c31377e2d138a866a0">
  <xsd:schema xmlns:xsd="http://www.w3.org/2001/XMLSchema" xmlns:xs="http://www.w3.org/2001/XMLSchema" xmlns:p="http://schemas.microsoft.com/office/2006/metadata/properties" xmlns:ns2="df712297-caf3-45f7-abd8-4282d34c4fb0" xmlns:ns3="e5300792-d807-4a46-888a-0735f65af2aa" xmlns:ns4="21484dc0-d8f4-47bd-8008-998e6fa6a43e" xmlns:ns5="ff1031f3-8a50-4899-a4d7-edddece5dd14" targetNamespace="http://schemas.microsoft.com/office/2006/metadata/properties" ma:root="true" ma:fieldsID="9d4e6fa2fc79f74b8c6d37278464175e" ns2:_="" ns3:_="" ns4:_="" ns5:_="">
    <xsd:import namespace="df712297-caf3-45f7-abd8-4282d34c4fb0"/>
    <xsd:import namespace="e5300792-d807-4a46-888a-0735f65af2aa"/>
    <xsd:import namespace="21484dc0-d8f4-47bd-8008-998e6fa6a43e"/>
    <xsd:import namespace="ff1031f3-8a50-4899-a4d7-edddece5dd14"/>
    <xsd:element name="properties">
      <xsd:complexType>
        <xsd:sequence>
          <xsd:element name="documentManagement">
            <xsd:complexType>
              <xsd:all>
                <xsd:element ref="ns2:lcf76f155ced4ddcb4097134ff3c332f" minOccurs="0"/>
                <xsd:element ref="ns3:TaxCatchAll" minOccurs="0"/>
                <xsd:element ref="ns4:SharedWithUsers" minOccurs="0"/>
                <xsd:element ref="ns4:SharedWithDetails" minOccurs="0"/>
                <xsd:element ref="ns5:MediaServiceMetadata" minOccurs="0"/>
                <xsd:element ref="ns5:MediaServiceFastMetadata" minOccurs="0"/>
                <xsd:element ref="ns5:MediaServiceDateTaken" minOccurs="0"/>
                <xsd:element ref="ns5:MediaServiceOCR" minOccurs="0"/>
                <xsd:element ref="ns5:MediaServiceGenerationTime" minOccurs="0"/>
                <xsd:element ref="ns5:MediaServiceEventHashCode" minOccurs="0"/>
                <xsd:element ref="ns5:MediaServiceAutoKeyPoints" minOccurs="0"/>
                <xsd:element ref="ns5:MediaServiceKeyPoint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712297-caf3-45f7-abd8-4282d34c4fb0" elementFormDefault="qualified">
    <xsd:import namespace="http://schemas.microsoft.com/office/2006/documentManagement/types"/>
    <xsd:import namespace="http://schemas.microsoft.com/office/infopath/2007/PartnerControls"/>
    <xsd:element name="lcf76f155ced4ddcb4097134ff3c332f" ma:index="8" nillable="true" ma:taxonomy="true" ma:internalName="lcf76f155ced4ddcb4097134ff3c332f" ma:taxonomyFieldName="MediaServiceImageTags" ma:displayName="Теги изображений" ma:readOnly="false" ma:fieldId="{5cf76f15-5ced-4ddc-b409-7134ff3c332f}" ma:taxonomyMulti="true" ma:sspId="af486d18-fdfb-40d7-ae35-60cdbc34d5c9"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300792-d807-4a46-888a-0735f65af2aa"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aa3eae9e-52bd-4d81-9382-4bf83d127d42}" ma:internalName="TaxCatchAll" ma:showField="CatchAllData" ma:web="e5300792-d807-4a46-888a-0735f65af2a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1484dc0-d8f4-47bd-8008-998e6fa6a43e"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1031f3-8a50-4899-a4d7-edddece5dd14"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6BA3E2-288E-482F-BA52-FCF30F3BFCCC}">
  <ds:schemaRefs>
    <ds:schemaRef ds:uri="http://schemas.microsoft.com/sharepoint/v3/contenttype/forms"/>
  </ds:schemaRefs>
</ds:datastoreItem>
</file>

<file path=customXml/itemProps2.xml><?xml version="1.0" encoding="utf-8"?>
<ds:datastoreItem xmlns:ds="http://schemas.openxmlformats.org/officeDocument/2006/customXml" ds:itemID="{F4FA005A-6208-4063-AB9B-7682CFFFE07E}">
  <ds:schemaRefs>
    <ds:schemaRef ds:uri="http://schemas.microsoft.com/office/infopath/2007/PartnerControls"/>
    <ds:schemaRef ds:uri="http://purl.org/dc/elements/1.1/"/>
    <ds:schemaRef ds:uri="e5300792-d807-4a46-888a-0735f65af2aa"/>
    <ds:schemaRef ds:uri="http://purl.org/dc/dcmitype/"/>
    <ds:schemaRef ds:uri="df712297-caf3-45f7-abd8-4282d34c4fb0"/>
    <ds:schemaRef ds:uri="http://purl.org/dc/terms/"/>
    <ds:schemaRef ds:uri="http://schemas.microsoft.com/office/2006/metadata/properties"/>
    <ds:schemaRef ds:uri="http://schemas.openxmlformats.org/package/2006/metadata/core-properties"/>
    <ds:schemaRef ds:uri="http://schemas.microsoft.com/office/2006/documentManagement/types"/>
    <ds:schemaRef ds:uri="ff1031f3-8a50-4899-a4d7-edddece5dd14"/>
    <ds:schemaRef ds:uri="21484dc0-d8f4-47bd-8008-998e6fa6a43e"/>
    <ds:schemaRef ds:uri="http://www.w3.org/XML/1998/namespace"/>
  </ds:schemaRefs>
</ds:datastoreItem>
</file>

<file path=customXml/itemProps3.xml><?xml version="1.0" encoding="utf-8"?>
<ds:datastoreItem xmlns:ds="http://schemas.openxmlformats.org/officeDocument/2006/customXml" ds:itemID="{FE7D971C-36BC-450B-849D-4DE077D59B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712297-caf3-45f7-abd8-4282d34c4fb0"/>
    <ds:schemaRef ds:uri="e5300792-d807-4a46-888a-0735f65af2aa"/>
    <ds:schemaRef ds:uri="21484dc0-d8f4-47bd-8008-998e6fa6a43e"/>
    <ds:schemaRef ds:uri="ff1031f3-8a50-4899-a4d7-edddece5dd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!FAQ</vt:lpstr>
      <vt:lpstr>2a.Travel calc</vt:lpstr>
      <vt:lpstr>PM-PA catalog</vt:lpstr>
      <vt:lpstr>Project overview</vt:lpstr>
      <vt:lpstr>Project estimations_adv</vt:lpstr>
      <vt:lpstr>Resources overview</vt:lpstr>
      <vt:lpstr>Reference data</vt:lpstr>
      <vt:lpstr>reference</vt:lpstr>
      <vt:lpstr>Argentina</vt:lpstr>
      <vt:lpstr>Brazil</vt:lpstr>
      <vt:lpstr>Bulgaria</vt:lpstr>
      <vt:lpstr>Cambodia</vt:lpstr>
      <vt:lpstr>Chile</vt:lpstr>
      <vt:lpstr>Colombia</vt:lpstr>
      <vt:lpstr>Costa_Rica</vt:lpstr>
      <vt:lpstr>Customer</vt:lpstr>
      <vt:lpstr>Hungary</vt:lpstr>
      <vt:lpstr>India</vt:lpstr>
      <vt:lpstr>Latvia</vt:lpstr>
      <vt:lpstr>Lithuania</vt:lpstr>
      <vt:lpstr>Malaysia</vt:lpstr>
      <vt:lpstr>Performer_Country</vt:lpstr>
      <vt:lpstr>Peru</vt:lpstr>
      <vt:lpstr>Philippines</vt:lpstr>
      <vt:lpstr>Thailand</vt:lpstr>
      <vt:lpstr>Vietnam</vt:lpstr>
    </vt:vector>
  </TitlesOfParts>
  <Manager/>
  <Company>Softline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Dmitriy.Kornilitsin@softline.com</dc:creator>
  <cp:keywords/>
  <dc:description/>
  <cp:lastModifiedBy>Kumrasen, Sarwen Kumar Naidu</cp:lastModifiedBy>
  <cp:revision/>
  <dcterms:created xsi:type="dcterms:W3CDTF">2012-06-09T02:52:24Z</dcterms:created>
  <dcterms:modified xsi:type="dcterms:W3CDTF">2026-08-12T02:43:13Z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447a286d-0209-4fa8-af1a-eab1d5e82e21</vt:lpwstr>
  </property>
  <property fmtid="{D5CDD505-2E9C-101B-9397-08002B2CF9AE}" pid="3" name="ContentTypeId">
    <vt:lpwstr>0x0101002C48BC1A0123CB4C9F631B633DFE2DD0</vt:lpwstr>
  </property>
  <property fmtid="{D5CDD505-2E9C-101B-9397-08002B2CF9AE}" pid="4" name="MediaServiceImageTags">
    <vt:lpwstr/>
  </property>
  <property fmtid="{D5CDD505-2E9C-101B-9397-08002B2CF9AE}" pid="5" name="MSIP_Label_defa4170-0d19-0005-0004-bc88714345d2_Enabled">
    <vt:lpwstr>true</vt:lpwstr>
  </property>
  <property fmtid="{D5CDD505-2E9C-101B-9397-08002B2CF9AE}" pid="6" name="MSIP_Label_defa4170-0d19-0005-0004-bc88714345d2_SetDate">
    <vt:lpwstr>2023-06-30T15:40:54Z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1f3f9d61-e763-4e33-b8eb-e95c97f9f2ff</vt:lpwstr>
  </property>
  <property fmtid="{D5CDD505-2E9C-101B-9397-08002B2CF9AE}" pid="10" name="MSIP_Label_defa4170-0d19-0005-0004-bc88714345d2_ActionId">
    <vt:lpwstr>938757e4-ad47-4b93-a36d-abd61b53c996</vt:lpwstr>
  </property>
  <property fmtid="{D5CDD505-2E9C-101B-9397-08002B2CF9AE}" pid="11" name="MSIP_Label_defa4170-0d19-0005-0004-bc88714345d2_ContentBits">
    <vt:lpwstr>0</vt:lpwstr>
  </property>
</Properties>
</file>