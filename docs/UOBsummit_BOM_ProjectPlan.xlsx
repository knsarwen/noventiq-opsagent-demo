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oftlineholdingplc-my.sharepoint.com/personal/sarwen_kumar_noventiq_com/Documents/Desktop/UOB/"/>
    </mc:Choice>
  </mc:AlternateContent>
  <xr:revisionPtr revIDLastSave="2" documentId="8_{8CF5B87F-2E40-4F18-9A6D-3C88403CEB4D}" xr6:coauthVersionLast="47" xr6:coauthVersionMax="47" xr10:uidLastSave="{B92CAAEC-6B91-47D4-ACE4-05FFD0D79718}"/>
  <bookViews>
    <workbookView xWindow="28680" yWindow="-120" windowWidth="29040" windowHeight="15720" activeTab="1" xr2:uid="{00000000-000D-0000-FFFF-FFFF00000000}"/>
  </bookViews>
  <sheets>
    <sheet name="Consumption &amp; Hosting Budget" sheetId="4" r:id="rId1"/>
    <sheet name="Gantt Chart Timelin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4" l="1"/>
  <c r="F10" i="4"/>
  <c r="F9" i="4"/>
  <c r="F8" i="4"/>
  <c r="F7" i="4"/>
  <c r="F6" i="4"/>
  <c r="F5" i="4"/>
  <c r="F16" i="1"/>
  <c r="F15" i="1"/>
  <c r="F14" i="1"/>
  <c r="F13" i="1"/>
  <c r="F12" i="1"/>
  <c r="F11" i="1"/>
  <c r="F10" i="1"/>
  <c r="F9" i="1"/>
  <c r="F8" i="1"/>
  <c r="F7" i="1"/>
  <c r="F6" i="1"/>
  <c r="F5" i="1"/>
  <c r="F13" i="4" l="1"/>
</calcChain>
</file>

<file path=xl/sharedStrings.xml><?xml version="1.0" encoding="utf-8"?>
<sst xmlns="http://schemas.openxmlformats.org/spreadsheetml/2006/main" count="154" uniqueCount="136">
  <si>
    <t>Noventiq OpsAgent UOB Summit — Master Project Timeline &amp; Gantt</t>
  </si>
  <si>
    <t>Project Window: 17 Aug 2026 – 28 Sept 2026 | Internal Freeze: 21 Sept 2026 | Target Event: 28 Sept 2026</t>
  </si>
  <si>
    <t>August 2026</t>
  </si>
  <si>
    <t>September 2026</t>
  </si>
  <si>
    <t>WBS</t>
  </si>
  <si>
    <t>Phase</t>
  </si>
  <si>
    <t>Task Description</t>
  </si>
  <si>
    <t>Start Date</t>
  </si>
  <si>
    <t>End Date</t>
  </si>
  <si>
    <t>Duration (Days)</t>
  </si>
  <si>
    <t>Status</t>
  </si>
  <si>
    <t>17
Mon</t>
  </si>
  <si>
    <t>18
Tue</t>
  </si>
  <si>
    <t>19
Wed</t>
  </si>
  <si>
    <t>20
Thu</t>
  </si>
  <si>
    <t>21
Fri</t>
  </si>
  <si>
    <t>22
Sat</t>
  </si>
  <si>
    <t>23
Sun</t>
  </si>
  <si>
    <t>24
Mon</t>
  </si>
  <si>
    <t>25
Tue</t>
  </si>
  <si>
    <t>26
Wed</t>
  </si>
  <si>
    <t>27
Thu</t>
  </si>
  <si>
    <t>28
Fri</t>
  </si>
  <si>
    <t>29
Sat</t>
  </si>
  <si>
    <t>30
Sun</t>
  </si>
  <si>
    <t>31
Mon</t>
  </si>
  <si>
    <t>01
Tue</t>
  </si>
  <si>
    <t>02
Wed</t>
  </si>
  <si>
    <t>03
Thu</t>
  </si>
  <si>
    <t>04
Fri</t>
  </si>
  <si>
    <t>05
Sat</t>
  </si>
  <si>
    <t>06
Sun</t>
  </si>
  <si>
    <t>07
Mon</t>
  </si>
  <si>
    <t>08
Tue</t>
  </si>
  <si>
    <t>09
Wed</t>
  </si>
  <si>
    <t>10
Thu</t>
  </si>
  <si>
    <t>11
Fri</t>
  </si>
  <si>
    <t>12
Sat</t>
  </si>
  <si>
    <t>13
Sun</t>
  </si>
  <si>
    <t>14
Mon</t>
  </si>
  <si>
    <t>15
Tue</t>
  </si>
  <si>
    <t>16
Wed</t>
  </si>
  <si>
    <t>17
Thu</t>
  </si>
  <si>
    <t>18
Fri</t>
  </si>
  <si>
    <t>19
Sat</t>
  </si>
  <si>
    <t>20
Sun</t>
  </si>
  <si>
    <t>21
Mon</t>
  </si>
  <si>
    <t>22
Tue</t>
  </si>
  <si>
    <t>23
Wed</t>
  </si>
  <si>
    <t>24
Thu</t>
  </si>
  <si>
    <t>25
Fri</t>
  </si>
  <si>
    <t>26
Sat</t>
  </si>
  <si>
    <t>27
Sun</t>
  </si>
  <si>
    <t>28
Mon</t>
  </si>
  <si>
    <t>1.1</t>
  </si>
  <si>
    <t>Phase 1</t>
  </si>
  <si>
    <t>Research &amp; Requirements Alignment (Schemas &amp; Photos)</t>
  </si>
  <si>
    <t>1.2</t>
  </si>
  <si>
    <t>Azure AI &amp; Power Platform Tenant Provisioning</t>
  </si>
  <si>
    <t>2.1</t>
  </si>
  <si>
    <t>Phase 2</t>
  </si>
  <si>
    <t>Dataverse Master Tables &amp; Fabric OneLake Setup</t>
  </si>
  <si>
    <t>2.2</t>
  </si>
  <si>
    <t>AI Document Intelligence &amp; GPT-4o Vision API</t>
  </si>
  <si>
    <t>3.1</t>
  </si>
  <si>
    <t>Phase 3</t>
  </si>
  <si>
    <t>Process 1 Build: B2B Quote Approval Automation</t>
  </si>
  <si>
    <t>Not Started</t>
  </si>
  <si>
    <t>3.2</t>
  </si>
  <si>
    <t>Process 2 Build: Warranty Claim &amp; Vision Triage</t>
  </si>
  <si>
    <t>3.3</t>
  </si>
  <si>
    <t>Copilot Studio Agent Core Orchestration</t>
  </si>
  <si>
    <t>4.1</t>
  </si>
  <si>
    <t>Phase 4</t>
  </si>
  <si>
    <t>Pitch Deck &amp; Storyboard (3-6-5 Playbook)</t>
  </si>
  <si>
    <t>4.2</t>
  </si>
  <si>
    <t>End-to-End Live Integration &amp; Rehearsal</t>
  </si>
  <si>
    <t>5.1</t>
  </si>
  <si>
    <t>Phase 5</t>
  </si>
  <si>
    <t>INTERNAL FEATURE FREEZE &amp; Executive Dry Run</t>
  </si>
  <si>
    <t>Critical Path</t>
  </si>
  <si>
    <t>5.2</t>
  </si>
  <si>
    <t>Backup 4K Video Recording (Failsafe Demo)</t>
  </si>
  <si>
    <t>5.3</t>
  </si>
  <si>
    <t>UOB Summit Event Day &amp; Live Booth Demo</t>
  </si>
  <si>
    <t>Milestone</t>
  </si>
  <si>
    <t>█</t>
  </si>
  <si>
    <t>Legend &amp; Phase Color Coding:</t>
  </si>
  <si>
    <t>Phase 1: Planning &amp; Setup</t>
  </si>
  <si>
    <t>Phase 3: Demo Development</t>
  </si>
  <si>
    <t>Phase 4: Pitch &amp; Polish</t>
  </si>
  <si>
    <t>Phase 5: Freeze &amp; Buffer</t>
  </si>
  <si>
    <t>Azure AI Portal – Consumption &amp; Hosting Budget</t>
  </si>
  <si>
    <t>Estimated budget for the proposed portal, AI processing, automation, and storage services.</t>
  </si>
  <si>
    <t>Item #</t>
  </si>
  <si>
    <t>Technical Service</t>
  </si>
  <si>
    <t>Pricing SKU / Tier</t>
  </si>
  <si>
    <t>Estimated Unit Usage (incl. Buffer)</t>
  </si>
  <si>
    <t>Unit Cost (USD)</t>
  </si>
  <si>
    <t>Line Total (USD)</t>
  </si>
  <si>
    <t>Billing Unit</t>
  </si>
  <si>
    <t>Billable Quantity</t>
  </si>
  <si>
    <t>Azure Static Web Apps (Portal Hosting)</t>
  </si>
  <si>
    <t>Standard Free Tier</t>
  </si>
  <si>
    <t>1 Hosted Customer Portal (HTML/React)</t>
  </si>
  <si>
    <t>Hosted portal</t>
  </si>
  <si>
    <t>Azure AI Document Intelligence</t>
  </si>
  <si>
    <t>Prebuilt Invoice &amp; Layout Model</t>
  </si>
  <si>
    <t>1,000 Pages (RFP / PO / Invoice OCR parsing)</t>
  </si>
  <si>
    <t>Pages</t>
  </si>
  <si>
    <t>1.3</t>
  </si>
  <si>
    <t>Azure OpenAI Service (GPT-4o)</t>
  </si>
  <si>
    <t>gpt-4o Vision Endpoint</t>
  </si>
  <si>
    <t>500 Image Triage Calls (~1.5M Tokens)</t>
  </si>
  <si>
    <t>Million tokens</t>
  </si>
  <si>
    <t>1.4</t>
  </si>
  <si>
    <t>Microsoft Copilot Studio</t>
  </si>
  <si>
    <t>Copilot Messages / Actions</t>
  </si>
  <si>
    <t>2,500 Messages (Capacity Pack Buffer)</t>
  </si>
  <si>
    <t>Messages</t>
  </si>
  <si>
    <t>1.5</t>
  </si>
  <si>
    <t>Power Automate &amp; Dataverse</t>
  </si>
  <si>
    <t>Process License &amp; Storage</t>
  </si>
  <si>
    <t>1 Month Sandbox Process Allocation</t>
  </si>
  <si>
    <t>Month</t>
  </si>
  <si>
    <t>1.6</t>
  </si>
  <si>
    <t>Azure Blob Storage &amp; CDN</t>
  </si>
  <si>
    <t>Hot Storage &amp; Global CDN</t>
  </si>
  <si>
    <t>10 GB Storage &amp; Portal Assets</t>
  </si>
  <si>
    <t>GB</t>
  </si>
  <si>
    <t>1.7</t>
  </si>
  <si>
    <t>Custom Azure Back-End Infrastructure</t>
  </si>
  <si>
    <t>Azure Functions / Web Apps</t>
  </si>
  <si>
    <t>NOT REQUIRED</t>
  </si>
  <si>
    <t>Not required</t>
  </si>
  <si>
    <t>SUBTOTAL (Base Consumption &amp; Hosting)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</si>
</sst>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19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8"/>
      <color rgb="FF1B365D"/>
      <name val="Calibri"/>
    </font>
    <font>
      <b/>
      <sz val="10"/>
      <color rgb="FF2B579A"/>
      <name val="Calibri"/>
    </font>
    <font>
      <sz val="10"/>
      <name val="Calibri"/>
    </font>
    <font>
      <sz val="8"/>
      <color rgb="FFFFFFFF"/>
      <name val="Calibri"/>
    </font>
    <font>
      <b/>
      <sz val="10"/>
      <color rgb="FF008A00"/>
      <name val="Calibri"/>
    </font>
    <font>
      <b/>
      <sz val="10"/>
      <color rgb="FFD85B00"/>
      <name val="Calibri"/>
    </font>
    <font>
      <b/>
      <sz val="10"/>
      <color rgb="FF6B2991"/>
      <name val="Calibri"/>
    </font>
    <font>
      <b/>
      <sz val="10"/>
      <color rgb="FFA40000"/>
      <name val="Calibri"/>
    </font>
    <font>
      <b/>
      <sz val="10"/>
      <name val="Calibri"/>
    </font>
    <font>
      <b/>
      <sz val="10"/>
      <color rgb="FF900000"/>
      <name val="Calibri"/>
    </font>
    <font>
      <b/>
      <sz val="10"/>
      <color rgb="FF4C007D"/>
      <name val="Calibri"/>
    </font>
    <font>
      <b/>
      <sz val="16"/>
      <color rgb="FFFFFFFF"/>
      <name val="Carlito"/>
    </font>
    <font>
      <i/>
      <sz val="10"/>
      <color rgb="FF52616B"/>
      <name val="Carlito"/>
    </font>
    <font>
      <b/>
      <sz val="11"/>
      <color rgb="FFFFFFFF"/>
      <name val="Carlito"/>
    </font>
    <font>
      <b/>
      <sz val="11"/>
      <color rgb="FF1F2937"/>
      <name val="Carlito"/>
    </font>
  </fonts>
  <fills count="19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D9E1F2"/>
        <bgColor rgb="FFD9E1F2"/>
      </patternFill>
    </fill>
    <fill>
      <patternFill patternType="solid">
        <fgColor rgb="FFEAEAEA"/>
        <bgColor rgb="FFEAEAEA"/>
      </patternFill>
    </fill>
    <fill>
      <patternFill patternType="solid">
        <fgColor rgb="FF2F5597"/>
        <bgColor rgb="FF2F5597"/>
      </patternFill>
    </fill>
    <fill>
      <patternFill patternType="solid">
        <fgColor rgb="FFF9FAFB"/>
        <bgColor rgb="FFF9FAFB"/>
      </patternFill>
    </fill>
    <fill>
      <patternFill patternType="solid">
        <fgColor rgb="FF2B579A"/>
        <bgColor rgb="FF2B579A"/>
      </patternFill>
    </fill>
    <fill>
      <patternFill patternType="solid">
        <fgColor rgb="FFF2F2F2"/>
        <bgColor rgb="FFF2F2F2"/>
      </patternFill>
    </fill>
    <fill>
      <patternFill patternType="solid">
        <fgColor rgb="FF008A00"/>
        <bgColor rgb="FF008A00"/>
      </patternFill>
    </fill>
    <fill>
      <patternFill patternType="solid">
        <fgColor rgb="FFD85B00"/>
        <bgColor rgb="FFD85B00"/>
      </patternFill>
    </fill>
    <fill>
      <patternFill patternType="solid">
        <fgColor rgb="FF6B2991"/>
        <bgColor rgb="FF6B2991"/>
      </patternFill>
    </fill>
    <fill>
      <patternFill patternType="solid">
        <fgColor rgb="FFF8CECC"/>
        <bgColor rgb="FFF8CECC"/>
      </patternFill>
    </fill>
    <fill>
      <patternFill patternType="solid">
        <fgColor rgb="FFA40000"/>
        <bgColor rgb="FFA40000"/>
      </patternFill>
    </fill>
    <fill>
      <patternFill patternType="solid">
        <fgColor rgb="FFE1D5E7"/>
        <bgColor rgb="FFE1D5E7"/>
      </patternFill>
    </fill>
    <fill>
      <patternFill patternType="solid">
        <fgColor rgb="FF0F3D62"/>
      </patternFill>
    </fill>
    <fill>
      <patternFill patternType="solid">
        <fgColor rgb="FF0078D4"/>
      </patternFill>
    </fill>
    <fill>
      <patternFill patternType="solid">
        <fgColor rgb="FFF7FAFC"/>
      </patternFill>
    </fill>
    <fill>
      <patternFill patternType="solid">
        <fgColor rgb="FFDCE6F1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9D6E2"/>
      </left>
      <right style="thin">
        <color rgb="FFC9D6E2"/>
      </right>
      <top style="thin">
        <color rgb="FFC9D6E2"/>
      </top>
      <bottom style="thin">
        <color rgb="FFC9D6E2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/>
    <xf numFmtId="16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right"/>
    </xf>
    <xf numFmtId="0" fontId="7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8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0" fontId="8" fillId="6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8" fillId="0" borderId="1" xfId="0" applyFont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13" fillId="12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11" fillId="6" borderId="1" xfId="0" applyFont="1" applyFill="1" applyBorder="1" applyAlignment="1">
      <alignment horizontal="center"/>
    </xf>
    <xf numFmtId="0" fontId="14" fillId="14" borderId="1" xfId="0" applyFont="1" applyFill="1" applyBorder="1" applyAlignment="1">
      <alignment horizontal="center"/>
    </xf>
    <xf numFmtId="0" fontId="12" fillId="0" borderId="0" xfId="0" applyFont="1"/>
    <xf numFmtId="0" fontId="0" fillId="7" borderId="0" xfId="0" applyFill="1"/>
    <xf numFmtId="0" fontId="6" fillId="0" borderId="0" xfId="0" applyFon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3" borderId="0" xfId="0" applyFill="1"/>
    <xf numFmtId="0" fontId="3" fillId="5" borderId="0" xfId="0" applyFont="1" applyFill="1" applyAlignment="1">
      <alignment horizontal="center" vertical="center"/>
    </xf>
    <xf numFmtId="0" fontId="0" fillId="0" borderId="0" xfId="0"/>
    <xf numFmtId="0" fontId="15" fillId="15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16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165" fontId="0" fillId="0" borderId="4" xfId="0" applyNumberFormat="1" applyBorder="1" applyAlignment="1">
      <alignment horizontal="right" vertical="center" wrapText="1"/>
    </xf>
    <xf numFmtId="0" fontId="0" fillId="17" borderId="4" xfId="0" applyFill="1" applyBorder="1" applyAlignment="1">
      <alignment vertical="center" wrapText="1"/>
    </xf>
    <xf numFmtId="4" fontId="0" fillId="17" borderId="4" xfId="0" applyNumberFormat="1" applyFill="1" applyBorder="1" applyAlignment="1">
      <alignment horizontal="righ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165" fontId="0" fillId="0" borderId="6" xfId="0" applyNumberFormat="1" applyBorder="1" applyAlignment="1">
      <alignment horizontal="right" vertical="center" wrapText="1"/>
    </xf>
    <xf numFmtId="0" fontId="0" fillId="17" borderId="6" xfId="0" applyFill="1" applyBorder="1" applyAlignment="1">
      <alignment vertical="center" wrapText="1"/>
    </xf>
    <xf numFmtId="4" fontId="0" fillId="17" borderId="6" xfId="0" applyNumberFormat="1" applyFill="1" applyBorder="1" applyAlignment="1">
      <alignment horizontal="righ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165" fontId="0" fillId="0" borderId="8" xfId="0" applyNumberFormat="1" applyBorder="1" applyAlignment="1">
      <alignment horizontal="right" vertical="center" wrapText="1"/>
    </xf>
    <xf numFmtId="165" fontId="0" fillId="0" borderId="0" xfId="0" applyNumberFormat="1"/>
    <xf numFmtId="0" fontId="18" fillId="18" borderId="9" xfId="0" applyFont="1" applyFill="1" applyBorder="1" applyAlignment="1">
      <alignment vertical="center"/>
    </xf>
    <xf numFmtId="0" fontId="18" fillId="18" borderId="10" xfId="0" applyFont="1" applyFill="1" applyBorder="1" applyAlignment="1">
      <alignment vertical="center"/>
    </xf>
    <xf numFmtId="165" fontId="18" fillId="18" borderId="10" xfId="0" applyNumberFormat="1" applyFont="1" applyFill="1" applyBorder="1" applyAlignment="1">
      <alignment vertical="center"/>
    </xf>
    <xf numFmtId="165" fontId="18" fillId="18" borderId="1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8D6FA10-65C2-4223-BC38-2405B9E39FB8}" name="BudgetItems" displayName="BudgetItems" ref="A4:H11" totalsRowShown="0">
  <autoFilter ref="A4:H11" xr:uid="{58D6FA10-65C2-4223-BC38-2405B9E39FB8}"/>
  <tableColumns count="8">
    <tableColumn id="1" xr3:uid="{B931DA7F-598D-4196-84EB-284623BD2EBD}" name="Item #"/>
    <tableColumn id="2" xr3:uid="{DD8758A6-416F-4950-8DB0-38F87DC740C8}" name="Technical Service"/>
    <tableColumn id="3" xr3:uid="{7285750E-7D78-4FA7-BCD3-A322322597F9}" name="Pricing SKU / Tier"/>
    <tableColumn id="4" xr3:uid="{7F34FE0E-814F-40B1-8AC8-97546CF23C40}" name="Estimated Unit Usage (incl. Buffer)"/>
    <tableColumn id="5" xr3:uid="{EED57DE8-5F99-4CF4-BFF9-2C3C91F26BB2}" name="Unit Cost (USD)"/>
    <tableColumn id="6" xr3:uid="{29DC2307-74A7-4890-BD9D-196E04BE9BB0}" name="Line Total (USD)">
      <calculatedColumnFormula>H5*E5</calculatedColumnFormula>
    </tableColumn>
    <tableColumn id="7" xr3:uid="{FECE1D1D-897F-4DB0-B8E7-8B27B65DA6CE}" name="Billing Unit"/>
    <tableColumn id="8" xr3:uid="{BF6A5B5E-BCF4-4B98-A6E8-9C26AC8B3DCD}" name="Billable 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09525-5257-493A-A83D-5C75CB5B1BE0}">
  <dimension ref="A1:H13"/>
  <sheetViews>
    <sheetView workbookViewId="0">
      <selection activeCell="K22" sqref="K22"/>
    </sheetView>
  </sheetViews>
  <sheetFormatPr defaultRowHeight="14.4"/>
  <cols>
    <col min="1" max="1" width="11.109375" customWidth="1"/>
    <col min="2" max="2" width="37.77734375" customWidth="1"/>
    <col min="3" max="3" width="32.21875" customWidth="1"/>
    <col min="4" max="4" width="47.77734375" customWidth="1"/>
    <col min="5" max="5" width="16.6640625" customWidth="1"/>
    <col min="6" max="6" width="18.88671875" customWidth="1"/>
    <col min="7" max="8" width="17.77734375" customWidth="1"/>
  </cols>
  <sheetData>
    <row r="1" spans="1:8" ht="21">
      <c r="A1" s="48" t="s">
        <v>92</v>
      </c>
      <c r="B1" s="48"/>
      <c r="C1" s="48"/>
      <c r="D1" s="48"/>
      <c r="E1" s="48"/>
      <c r="F1" s="48"/>
      <c r="G1" s="48"/>
      <c r="H1" s="48"/>
    </row>
    <row r="2" spans="1:8">
      <c r="A2" s="49" t="s">
        <v>93</v>
      </c>
      <c r="B2" s="49"/>
      <c r="C2" s="49"/>
      <c r="D2" s="49"/>
      <c r="E2" s="49"/>
      <c r="F2" s="49"/>
      <c r="G2" s="49"/>
      <c r="H2" s="49"/>
    </row>
    <row r="4" spans="1:8">
      <c r="A4" s="50" t="s">
        <v>94</v>
      </c>
      <c r="B4" s="50" t="s">
        <v>95</v>
      </c>
      <c r="C4" s="50" t="s">
        <v>96</v>
      </c>
      <c r="D4" s="50" t="s">
        <v>97</v>
      </c>
      <c r="E4" s="50" t="s">
        <v>98</v>
      </c>
      <c r="F4" s="50" t="s">
        <v>99</v>
      </c>
      <c r="G4" s="50" t="s">
        <v>100</v>
      </c>
      <c r="H4" s="50" t="s">
        <v>101</v>
      </c>
    </row>
    <row r="5" spans="1:8">
      <c r="A5" s="51" t="s">
        <v>54</v>
      </c>
      <c r="B5" s="52" t="s">
        <v>102</v>
      </c>
      <c r="C5" s="52" t="s">
        <v>103</v>
      </c>
      <c r="D5" s="52" t="s">
        <v>104</v>
      </c>
      <c r="E5" s="53">
        <v>0</v>
      </c>
      <c r="F5" s="53">
        <f>H5*E5</f>
        <v>0</v>
      </c>
      <c r="G5" s="54" t="s">
        <v>105</v>
      </c>
      <c r="H5" s="55">
        <v>1</v>
      </c>
    </row>
    <row r="6" spans="1:8">
      <c r="A6" s="56" t="s">
        <v>57</v>
      </c>
      <c r="B6" s="57" t="s">
        <v>106</v>
      </c>
      <c r="C6" s="57" t="s">
        <v>107</v>
      </c>
      <c r="D6" s="57" t="s">
        <v>108</v>
      </c>
      <c r="E6" s="58">
        <v>0.01</v>
      </c>
      <c r="F6" s="58">
        <f>H6*E6</f>
        <v>10</v>
      </c>
      <c r="G6" s="59" t="s">
        <v>109</v>
      </c>
      <c r="H6" s="60">
        <v>1000</v>
      </c>
    </row>
    <row r="7" spans="1:8">
      <c r="A7" s="56" t="s">
        <v>110</v>
      </c>
      <c r="B7" s="57" t="s">
        <v>111</v>
      </c>
      <c r="C7" s="57" t="s">
        <v>112</v>
      </c>
      <c r="D7" s="57" t="s">
        <v>113</v>
      </c>
      <c r="E7" s="58">
        <v>5</v>
      </c>
      <c r="F7" s="58">
        <f>H7*E7</f>
        <v>7.5</v>
      </c>
      <c r="G7" s="59" t="s">
        <v>114</v>
      </c>
      <c r="H7" s="60">
        <v>1.5</v>
      </c>
    </row>
    <row r="8" spans="1:8">
      <c r="A8" s="56" t="s">
        <v>115</v>
      </c>
      <c r="B8" s="57" t="s">
        <v>116</v>
      </c>
      <c r="C8" s="57" t="s">
        <v>117</v>
      </c>
      <c r="D8" s="57" t="s">
        <v>118</v>
      </c>
      <c r="E8" s="58">
        <v>8.0000000000000002E-3</v>
      </c>
      <c r="F8" s="58">
        <f>H8*E8</f>
        <v>20</v>
      </c>
      <c r="G8" s="59" t="s">
        <v>119</v>
      </c>
      <c r="H8" s="60">
        <v>2500</v>
      </c>
    </row>
    <row r="9" spans="1:8">
      <c r="A9" s="56" t="s">
        <v>120</v>
      </c>
      <c r="B9" s="57" t="s">
        <v>121</v>
      </c>
      <c r="C9" s="57" t="s">
        <v>122</v>
      </c>
      <c r="D9" s="57" t="s">
        <v>123</v>
      </c>
      <c r="E9" s="58">
        <v>15</v>
      </c>
      <c r="F9" s="58">
        <f>H9*E9</f>
        <v>15</v>
      </c>
      <c r="G9" s="59" t="s">
        <v>124</v>
      </c>
      <c r="H9" s="60">
        <v>1</v>
      </c>
    </row>
    <row r="10" spans="1:8">
      <c r="A10" s="56" t="s">
        <v>125</v>
      </c>
      <c r="B10" s="57" t="s">
        <v>126</v>
      </c>
      <c r="C10" s="57" t="s">
        <v>127</v>
      </c>
      <c r="D10" s="57" t="s">
        <v>128</v>
      </c>
      <c r="E10" s="58">
        <v>0.25</v>
      </c>
      <c r="F10" s="58">
        <f>H10*E10</f>
        <v>2.5</v>
      </c>
      <c r="G10" s="59" t="s">
        <v>129</v>
      </c>
      <c r="H10" s="60">
        <v>10</v>
      </c>
    </row>
    <row r="11" spans="1:8">
      <c r="A11" s="61" t="s">
        <v>130</v>
      </c>
      <c r="B11" s="62" t="s">
        <v>131</v>
      </c>
      <c r="C11" s="62" t="s">
        <v>132</v>
      </c>
      <c r="D11" s="62" t="s">
        <v>133</v>
      </c>
      <c r="E11" s="63">
        <v>0</v>
      </c>
      <c r="F11" s="63">
        <f>H11*E11</f>
        <v>0</v>
      </c>
      <c r="G11" s="59" t="s">
        <v>134</v>
      </c>
      <c r="H11" s="60">
        <v>0</v>
      </c>
    </row>
    <row r="12" spans="1:8">
      <c r="E12" s="64"/>
      <c r="F12" s="64"/>
    </row>
    <row r="13" spans="1:8">
      <c r="A13" s="65" t="s">
        <v>135</v>
      </c>
      <c r="B13" s="66"/>
      <c r="C13" s="66"/>
      <c r="D13" s="66"/>
      <c r="E13" s="67"/>
      <c r="F13" s="68">
        <f>SUM(F5:F11)</f>
        <v>55</v>
      </c>
    </row>
  </sheetData>
  <mergeCells count="3">
    <mergeCell ref="A1:H1"/>
    <mergeCell ref="A2:H2"/>
    <mergeCell ref="A13:E1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9"/>
  <sheetViews>
    <sheetView tabSelected="1" workbookViewId="0">
      <selection activeCell="K16" sqref="K16:L16"/>
    </sheetView>
  </sheetViews>
  <sheetFormatPr defaultRowHeight="14.4"/>
  <cols>
    <col min="1" max="1" width="8" customWidth="1"/>
    <col min="2" max="2" width="12" customWidth="1"/>
    <col min="3" max="3" width="45" customWidth="1"/>
    <col min="4" max="5" width="14" customWidth="1"/>
    <col min="6" max="7" width="15" customWidth="1"/>
    <col min="8" max="50" width="4.44140625" customWidth="1"/>
  </cols>
  <sheetData>
    <row r="1" spans="1:50" ht="21">
      <c r="A1" s="1" t="s">
        <v>0</v>
      </c>
    </row>
    <row r="2" spans="1:50">
      <c r="A2" s="2" t="s">
        <v>1</v>
      </c>
    </row>
    <row r="3" spans="1:50">
      <c r="H3" s="46" t="s">
        <v>2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6" t="s">
        <v>3</v>
      </c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</row>
    <row r="4" spans="1:50" ht="20.399999999999999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5" t="s">
        <v>16</v>
      </c>
      <c r="N4" s="5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5" t="s">
        <v>23</v>
      </c>
      <c r="U4" s="5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5" t="s">
        <v>30</v>
      </c>
      <c r="AB4" s="5" t="s">
        <v>31</v>
      </c>
      <c r="AC4" s="4" t="s">
        <v>32</v>
      </c>
      <c r="AD4" s="4" t="s">
        <v>33</v>
      </c>
      <c r="AE4" s="4" t="s">
        <v>34</v>
      </c>
      <c r="AF4" s="4" t="s">
        <v>35</v>
      </c>
      <c r="AG4" s="4" t="s">
        <v>36</v>
      </c>
      <c r="AH4" s="5" t="s">
        <v>37</v>
      </c>
      <c r="AI4" s="5" t="s">
        <v>38</v>
      </c>
      <c r="AJ4" s="4" t="s">
        <v>39</v>
      </c>
      <c r="AK4" s="4" t="s">
        <v>40</v>
      </c>
      <c r="AL4" s="4" t="s">
        <v>41</v>
      </c>
      <c r="AM4" s="4" t="s">
        <v>42</v>
      </c>
      <c r="AN4" s="4" t="s">
        <v>43</v>
      </c>
      <c r="AO4" s="5" t="s">
        <v>44</v>
      </c>
      <c r="AP4" s="5" t="s">
        <v>45</v>
      </c>
      <c r="AQ4" s="4" t="s">
        <v>46</v>
      </c>
      <c r="AR4" s="4" t="s">
        <v>47</v>
      </c>
      <c r="AS4" s="4" t="s">
        <v>48</v>
      </c>
      <c r="AT4" s="4" t="s">
        <v>49</v>
      </c>
      <c r="AU4" s="4" t="s">
        <v>50</v>
      </c>
      <c r="AV4" s="5" t="s">
        <v>51</v>
      </c>
      <c r="AW4" s="5" t="s">
        <v>52</v>
      </c>
      <c r="AX4" s="4" t="s">
        <v>53</v>
      </c>
    </row>
    <row r="5" spans="1:50">
      <c r="A5" s="6" t="s">
        <v>54</v>
      </c>
      <c r="B5" s="7" t="s">
        <v>55</v>
      </c>
      <c r="C5" s="8" t="s">
        <v>56</v>
      </c>
      <c r="D5" s="9">
        <v>46251</v>
      </c>
      <c r="E5" s="9">
        <v>46255</v>
      </c>
      <c r="F5" s="10">
        <f t="shared" ref="F5:F16" si="0">E5-D5+1</f>
        <v>5</v>
      </c>
      <c r="G5" s="15" t="s">
        <v>67</v>
      </c>
      <c r="H5" s="11"/>
      <c r="I5" s="12"/>
      <c r="J5" s="12"/>
      <c r="K5" s="12"/>
      <c r="L5" s="11"/>
      <c r="M5" s="13"/>
      <c r="N5" s="13"/>
      <c r="O5" s="14"/>
      <c r="P5" s="14"/>
      <c r="Q5" s="14"/>
      <c r="R5" s="14"/>
      <c r="S5" s="14"/>
      <c r="T5" s="13"/>
      <c r="U5" s="13"/>
      <c r="V5" s="14"/>
      <c r="W5" s="14"/>
      <c r="X5" s="14"/>
      <c r="Y5" s="14"/>
      <c r="Z5" s="14"/>
      <c r="AA5" s="13"/>
      <c r="AB5" s="13"/>
      <c r="AC5" s="14"/>
      <c r="AD5" s="14"/>
      <c r="AE5" s="14"/>
      <c r="AF5" s="14"/>
      <c r="AG5" s="14"/>
      <c r="AH5" s="13"/>
      <c r="AI5" s="13"/>
      <c r="AJ5" s="14"/>
      <c r="AK5" s="14"/>
      <c r="AL5" s="14"/>
      <c r="AM5" s="14"/>
      <c r="AN5" s="14"/>
      <c r="AO5" s="13"/>
      <c r="AP5" s="13"/>
      <c r="AQ5" s="14"/>
      <c r="AR5" s="14"/>
      <c r="AS5" s="14"/>
      <c r="AT5" s="14"/>
      <c r="AU5" s="14"/>
      <c r="AV5" s="13"/>
      <c r="AW5" s="13"/>
      <c r="AX5" s="14"/>
    </row>
    <row r="6" spans="1:50">
      <c r="A6" s="15" t="s">
        <v>57</v>
      </c>
      <c r="B6" s="16" t="s">
        <v>55</v>
      </c>
      <c r="C6" s="17" t="s">
        <v>58</v>
      </c>
      <c r="D6" s="18">
        <v>46253</v>
      </c>
      <c r="E6" s="18">
        <v>46257</v>
      </c>
      <c r="F6" s="19">
        <f t="shared" si="0"/>
        <v>5</v>
      </c>
      <c r="G6" s="15" t="s">
        <v>67</v>
      </c>
      <c r="H6" s="14"/>
      <c r="I6" s="14"/>
      <c r="J6" s="11"/>
      <c r="K6" s="12"/>
      <c r="L6" s="12"/>
      <c r="M6" s="12"/>
      <c r="N6" s="11"/>
      <c r="O6" s="14"/>
      <c r="P6" s="14"/>
      <c r="Q6" s="14"/>
      <c r="R6" s="14"/>
      <c r="S6" s="14"/>
      <c r="T6" s="13"/>
      <c r="U6" s="13"/>
      <c r="V6" s="14"/>
      <c r="W6" s="14"/>
      <c r="X6" s="14"/>
      <c r="Y6" s="14"/>
      <c r="Z6" s="14"/>
      <c r="AA6" s="13"/>
      <c r="AB6" s="13"/>
      <c r="AC6" s="14"/>
      <c r="AD6" s="14"/>
      <c r="AE6" s="14"/>
      <c r="AF6" s="14"/>
      <c r="AG6" s="14"/>
      <c r="AH6" s="13"/>
      <c r="AI6" s="13"/>
      <c r="AJ6" s="14"/>
      <c r="AK6" s="14"/>
      <c r="AL6" s="14"/>
      <c r="AM6" s="14"/>
      <c r="AN6" s="14"/>
      <c r="AO6" s="13"/>
      <c r="AP6" s="13"/>
      <c r="AQ6" s="14"/>
      <c r="AR6" s="14"/>
      <c r="AS6" s="14"/>
      <c r="AT6" s="14"/>
      <c r="AU6" s="14"/>
      <c r="AV6" s="13"/>
      <c r="AW6" s="13"/>
      <c r="AX6" s="14"/>
    </row>
    <row r="7" spans="1:50">
      <c r="A7" s="6" t="s">
        <v>59</v>
      </c>
      <c r="B7" s="20" t="s">
        <v>60</v>
      </c>
      <c r="C7" s="8" t="s">
        <v>61</v>
      </c>
      <c r="D7" s="9">
        <v>46258</v>
      </c>
      <c r="E7" s="9">
        <v>46262</v>
      </c>
      <c r="F7" s="10">
        <f t="shared" si="0"/>
        <v>5</v>
      </c>
      <c r="G7" s="15" t="s">
        <v>67</v>
      </c>
      <c r="H7" s="14"/>
      <c r="I7" s="14"/>
      <c r="J7" s="14"/>
      <c r="K7" s="14"/>
      <c r="L7" s="14"/>
      <c r="M7" s="13"/>
      <c r="N7" s="13"/>
      <c r="O7" s="21"/>
      <c r="P7" s="22"/>
      <c r="Q7" s="22"/>
      <c r="R7" s="22"/>
      <c r="S7" s="21"/>
      <c r="T7" s="13"/>
      <c r="U7" s="13"/>
      <c r="V7" s="14"/>
      <c r="W7" s="14"/>
      <c r="X7" s="14"/>
      <c r="Y7" s="14"/>
      <c r="Z7" s="14"/>
      <c r="AA7" s="13"/>
      <c r="AB7" s="13"/>
      <c r="AC7" s="14"/>
      <c r="AD7" s="14"/>
      <c r="AE7" s="14"/>
      <c r="AF7" s="14"/>
      <c r="AG7" s="14"/>
      <c r="AH7" s="13"/>
      <c r="AI7" s="13"/>
      <c r="AJ7" s="14"/>
      <c r="AK7" s="14"/>
      <c r="AL7" s="14"/>
      <c r="AM7" s="14"/>
      <c r="AN7" s="14"/>
      <c r="AO7" s="13"/>
      <c r="AP7" s="13"/>
      <c r="AQ7" s="14"/>
      <c r="AR7" s="14"/>
      <c r="AS7" s="14"/>
      <c r="AT7" s="14"/>
      <c r="AU7" s="14"/>
      <c r="AV7" s="13"/>
      <c r="AW7" s="13"/>
      <c r="AX7" s="14"/>
    </row>
    <row r="8" spans="1:50">
      <c r="A8" s="15" t="s">
        <v>62</v>
      </c>
      <c r="B8" s="23" t="s">
        <v>60</v>
      </c>
      <c r="C8" s="17" t="s">
        <v>63</v>
      </c>
      <c r="D8" s="18">
        <v>46260</v>
      </c>
      <c r="E8" s="18">
        <v>46264</v>
      </c>
      <c r="F8" s="19">
        <f t="shared" si="0"/>
        <v>5</v>
      </c>
      <c r="G8" s="15" t="s">
        <v>67</v>
      </c>
      <c r="H8" s="14"/>
      <c r="I8" s="14"/>
      <c r="J8" s="14"/>
      <c r="K8" s="14"/>
      <c r="L8" s="14"/>
      <c r="M8" s="13"/>
      <c r="N8" s="13"/>
      <c r="O8" s="14"/>
      <c r="P8" s="14"/>
      <c r="Q8" s="21"/>
      <c r="R8" s="22"/>
      <c r="S8" s="22"/>
      <c r="T8" s="22"/>
      <c r="U8" s="21"/>
      <c r="V8" s="14"/>
      <c r="W8" s="14"/>
      <c r="X8" s="14"/>
      <c r="Y8" s="14"/>
      <c r="Z8" s="14"/>
      <c r="AA8" s="13"/>
      <c r="AB8" s="13"/>
      <c r="AC8" s="14"/>
      <c r="AD8" s="14"/>
      <c r="AE8" s="14"/>
      <c r="AF8" s="14"/>
      <c r="AG8" s="14"/>
      <c r="AH8" s="13"/>
      <c r="AI8" s="13"/>
      <c r="AJ8" s="14"/>
      <c r="AK8" s="14"/>
      <c r="AL8" s="14"/>
      <c r="AM8" s="14"/>
      <c r="AN8" s="14"/>
      <c r="AO8" s="13"/>
      <c r="AP8" s="13"/>
      <c r="AQ8" s="14"/>
      <c r="AR8" s="14"/>
      <c r="AS8" s="14"/>
      <c r="AT8" s="14"/>
      <c r="AU8" s="14"/>
      <c r="AV8" s="13"/>
      <c r="AW8" s="13"/>
      <c r="AX8" s="14"/>
    </row>
    <row r="9" spans="1:50">
      <c r="A9" s="6" t="s">
        <v>64</v>
      </c>
      <c r="B9" s="24" t="s">
        <v>65</v>
      </c>
      <c r="C9" s="8" t="s">
        <v>66</v>
      </c>
      <c r="D9" s="9">
        <v>46265</v>
      </c>
      <c r="E9" s="9">
        <v>46271</v>
      </c>
      <c r="F9" s="10">
        <f t="shared" si="0"/>
        <v>7</v>
      </c>
      <c r="G9" s="15" t="s">
        <v>67</v>
      </c>
      <c r="H9" s="14"/>
      <c r="I9" s="14"/>
      <c r="J9" s="14"/>
      <c r="K9" s="14"/>
      <c r="L9" s="14"/>
      <c r="M9" s="13"/>
      <c r="N9" s="13"/>
      <c r="O9" s="14"/>
      <c r="P9" s="14"/>
      <c r="Q9" s="14"/>
      <c r="R9" s="14"/>
      <c r="S9" s="14"/>
      <c r="T9" s="13"/>
      <c r="U9" s="13"/>
      <c r="V9" s="25"/>
      <c r="W9" s="26"/>
      <c r="X9" s="26"/>
      <c r="Y9" s="26"/>
      <c r="Z9" s="26"/>
      <c r="AA9" s="26"/>
      <c r="AB9" s="25"/>
      <c r="AC9" s="14"/>
      <c r="AD9" s="14"/>
      <c r="AE9" s="14"/>
      <c r="AF9" s="14"/>
      <c r="AG9" s="14"/>
      <c r="AH9" s="13"/>
      <c r="AI9" s="13"/>
      <c r="AJ9" s="14"/>
      <c r="AK9" s="14"/>
      <c r="AL9" s="14"/>
      <c r="AM9" s="14"/>
      <c r="AN9" s="14"/>
      <c r="AO9" s="13"/>
      <c r="AP9" s="13"/>
      <c r="AQ9" s="14"/>
      <c r="AR9" s="14"/>
      <c r="AS9" s="14"/>
      <c r="AT9" s="14"/>
      <c r="AU9" s="14"/>
      <c r="AV9" s="13"/>
      <c r="AW9" s="13"/>
      <c r="AX9" s="14"/>
    </row>
    <row r="10" spans="1:50">
      <c r="A10" s="15" t="s">
        <v>68</v>
      </c>
      <c r="B10" s="27" t="s">
        <v>65</v>
      </c>
      <c r="C10" s="17" t="s">
        <v>69</v>
      </c>
      <c r="D10" s="18">
        <v>46269</v>
      </c>
      <c r="E10" s="18">
        <v>46276</v>
      </c>
      <c r="F10" s="19">
        <f t="shared" si="0"/>
        <v>8</v>
      </c>
      <c r="G10" s="15" t="s">
        <v>67</v>
      </c>
      <c r="H10" s="14"/>
      <c r="I10" s="14"/>
      <c r="J10" s="14"/>
      <c r="K10" s="14"/>
      <c r="L10" s="14"/>
      <c r="M10" s="13"/>
      <c r="N10" s="13"/>
      <c r="O10" s="14"/>
      <c r="P10" s="14"/>
      <c r="Q10" s="14"/>
      <c r="R10" s="14"/>
      <c r="S10" s="14"/>
      <c r="T10" s="13"/>
      <c r="U10" s="13"/>
      <c r="V10" s="14"/>
      <c r="W10" s="14"/>
      <c r="X10" s="14"/>
      <c r="Y10" s="14"/>
      <c r="Z10" s="25"/>
      <c r="AA10" s="26"/>
      <c r="AB10" s="26"/>
      <c r="AC10" s="26"/>
      <c r="AD10" s="26"/>
      <c r="AE10" s="26"/>
      <c r="AF10" s="26"/>
      <c r="AG10" s="25"/>
      <c r="AH10" s="13"/>
      <c r="AI10" s="13"/>
      <c r="AJ10" s="14"/>
      <c r="AK10" s="14"/>
      <c r="AL10" s="14"/>
      <c r="AM10" s="14"/>
      <c r="AN10" s="14"/>
      <c r="AO10" s="13"/>
      <c r="AP10" s="13"/>
      <c r="AQ10" s="14"/>
      <c r="AR10" s="14"/>
      <c r="AS10" s="14"/>
      <c r="AT10" s="14"/>
      <c r="AU10" s="14"/>
      <c r="AV10" s="13"/>
      <c r="AW10" s="13"/>
      <c r="AX10" s="14"/>
    </row>
    <row r="11" spans="1:50">
      <c r="A11" s="6" t="s">
        <v>70</v>
      </c>
      <c r="B11" s="24" t="s">
        <v>65</v>
      </c>
      <c r="C11" s="8" t="s">
        <v>71</v>
      </c>
      <c r="D11" s="9">
        <v>46272</v>
      </c>
      <c r="E11" s="9">
        <v>46278</v>
      </c>
      <c r="F11" s="10">
        <f t="shared" si="0"/>
        <v>7</v>
      </c>
      <c r="G11" s="15" t="s">
        <v>67</v>
      </c>
      <c r="H11" s="14"/>
      <c r="I11" s="14"/>
      <c r="J11" s="14"/>
      <c r="K11" s="14"/>
      <c r="L11" s="14"/>
      <c r="M11" s="13"/>
      <c r="N11" s="13"/>
      <c r="O11" s="14"/>
      <c r="P11" s="14"/>
      <c r="Q11" s="14"/>
      <c r="R11" s="14"/>
      <c r="S11" s="14"/>
      <c r="T11" s="13"/>
      <c r="U11" s="13"/>
      <c r="V11" s="14"/>
      <c r="W11" s="14"/>
      <c r="X11" s="14"/>
      <c r="Y11" s="14"/>
      <c r="Z11" s="14"/>
      <c r="AA11" s="13"/>
      <c r="AB11" s="13"/>
      <c r="AC11" s="25"/>
      <c r="AD11" s="26"/>
      <c r="AE11" s="26"/>
      <c r="AF11" s="26"/>
      <c r="AG11" s="26"/>
      <c r="AH11" s="26"/>
      <c r="AI11" s="25"/>
      <c r="AJ11" s="14"/>
      <c r="AK11" s="14"/>
      <c r="AL11" s="14"/>
      <c r="AM11" s="14"/>
      <c r="AN11" s="14"/>
      <c r="AO11" s="13"/>
      <c r="AP11" s="13"/>
      <c r="AQ11" s="14"/>
      <c r="AR11" s="14"/>
      <c r="AS11" s="14"/>
      <c r="AT11" s="14"/>
      <c r="AU11" s="14"/>
      <c r="AV11" s="13"/>
      <c r="AW11" s="13"/>
      <c r="AX11" s="14"/>
    </row>
    <row r="12" spans="1:50">
      <c r="A12" s="15" t="s">
        <v>72</v>
      </c>
      <c r="B12" s="28" t="s">
        <v>73</v>
      </c>
      <c r="C12" s="17" t="s">
        <v>74</v>
      </c>
      <c r="D12" s="18">
        <v>46279</v>
      </c>
      <c r="E12" s="18">
        <v>46283</v>
      </c>
      <c r="F12" s="19">
        <f t="shared" si="0"/>
        <v>5</v>
      </c>
      <c r="G12" s="15" t="s">
        <v>67</v>
      </c>
      <c r="H12" s="14"/>
      <c r="I12" s="14"/>
      <c r="J12" s="14"/>
      <c r="K12" s="14"/>
      <c r="L12" s="14"/>
      <c r="M12" s="13"/>
      <c r="N12" s="13"/>
      <c r="O12" s="14"/>
      <c r="P12" s="14"/>
      <c r="Q12" s="14"/>
      <c r="R12" s="14"/>
      <c r="S12" s="14"/>
      <c r="T12" s="13"/>
      <c r="U12" s="13"/>
      <c r="V12" s="14"/>
      <c r="W12" s="14"/>
      <c r="X12" s="14"/>
      <c r="Y12" s="14"/>
      <c r="Z12" s="14"/>
      <c r="AA12" s="13"/>
      <c r="AB12" s="13"/>
      <c r="AC12" s="14"/>
      <c r="AD12" s="14"/>
      <c r="AE12" s="14"/>
      <c r="AF12" s="14"/>
      <c r="AG12" s="14"/>
      <c r="AH12" s="13"/>
      <c r="AI12" s="13"/>
      <c r="AJ12" s="29"/>
      <c r="AK12" s="30"/>
      <c r="AL12" s="30"/>
      <c r="AM12" s="30"/>
      <c r="AN12" s="29"/>
      <c r="AO12" s="13"/>
      <c r="AP12" s="13"/>
      <c r="AQ12" s="14"/>
      <c r="AR12" s="14"/>
      <c r="AS12" s="14"/>
      <c r="AT12" s="14"/>
      <c r="AU12" s="14"/>
      <c r="AV12" s="13"/>
      <c r="AW12" s="13"/>
      <c r="AX12" s="14"/>
    </row>
    <row r="13" spans="1:50">
      <c r="A13" s="6" t="s">
        <v>75</v>
      </c>
      <c r="B13" s="31" t="s">
        <v>73</v>
      </c>
      <c r="C13" s="8" t="s">
        <v>76</v>
      </c>
      <c r="D13" s="9">
        <v>46281</v>
      </c>
      <c r="E13" s="9">
        <v>46285</v>
      </c>
      <c r="F13" s="10">
        <f t="shared" si="0"/>
        <v>5</v>
      </c>
      <c r="G13" s="15" t="s">
        <v>67</v>
      </c>
      <c r="H13" s="14"/>
      <c r="I13" s="14"/>
      <c r="J13" s="14"/>
      <c r="K13" s="14"/>
      <c r="L13" s="14"/>
      <c r="M13" s="13"/>
      <c r="N13" s="13"/>
      <c r="O13" s="14"/>
      <c r="P13" s="14"/>
      <c r="Q13" s="14"/>
      <c r="R13" s="14"/>
      <c r="S13" s="14"/>
      <c r="T13" s="13"/>
      <c r="U13" s="13"/>
      <c r="V13" s="14"/>
      <c r="W13" s="14"/>
      <c r="X13" s="14"/>
      <c r="Y13" s="14"/>
      <c r="Z13" s="14"/>
      <c r="AA13" s="13"/>
      <c r="AB13" s="13"/>
      <c r="AC13" s="14"/>
      <c r="AD13" s="14"/>
      <c r="AE13" s="14"/>
      <c r="AF13" s="14"/>
      <c r="AG13" s="14"/>
      <c r="AH13" s="13"/>
      <c r="AI13" s="13"/>
      <c r="AJ13" s="14"/>
      <c r="AK13" s="14"/>
      <c r="AL13" s="29"/>
      <c r="AM13" s="30"/>
      <c r="AN13" s="30"/>
      <c r="AO13" s="30"/>
      <c r="AP13" s="29"/>
      <c r="AQ13" s="14"/>
      <c r="AR13" s="14"/>
      <c r="AS13" s="14"/>
      <c r="AT13" s="14"/>
      <c r="AU13" s="14"/>
      <c r="AV13" s="13"/>
      <c r="AW13" s="13"/>
      <c r="AX13" s="14"/>
    </row>
    <row r="14" spans="1:50">
      <c r="A14" s="15" t="s">
        <v>77</v>
      </c>
      <c r="B14" s="32" t="s">
        <v>78</v>
      </c>
      <c r="C14" s="33" t="s">
        <v>79</v>
      </c>
      <c r="D14" s="18">
        <v>46286</v>
      </c>
      <c r="E14" s="18">
        <v>46290</v>
      </c>
      <c r="F14" s="19">
        <f t="shared" si="0"/>
        <v>5</v>
      </c>
      <c r="G14" s="34" t="s">
        <v>80</v>
      </c>
      <c r="H14" s="14"/>
      <c r="I14" s="14"/>
      <c r="J14" s="14"/>
      <c r="K14" s="14"/>
      <c r="L14" s="14"/>
      <c r="M14" s="13"/>
      <c r="N14" s="13"/>
      <c r="O14" s="14"/>
      <c r="P14" s="14"/>
      <c r="Q14" s="14"/>
      <c r="R14" s="14"/>
      <c r="S14" s="14"/>
      <c r="T14" s="13"/>
      <c r="U14" s="13"/>
      <c r="V14" s="14"/>
      <c r="W14" s="14"/>
      <c r="X14" s="14"/>
      <c r="Y14" s="14"/>
      <c r="Z14" s="14"/>
      <c r="AA14" s="13"/>
      <c r="AB14" s="13"/>
      <c r="AC14" s="14"/>
      <c r="AD14" s="14"/>
      <c r="AE14" s="14"/>
      <c r="AF14" s="14"/>
      <c r="AG14" s="14"/>
      <c r="AH14" s="13"/>
      <c r="AI14" s="13"/>
      <c r="AJ14" s="14"/>
      <c r="AK14" s="14"/>
      <c r="AL14" s="14"/>
      <c r="AM14" s="14"/>
      <c r="AN14" s="14"/>
      <c r="AO14" s="13"/>
      <c r="AP14" s="13"/>
      <c r="AQ14" s="35"/>
      <c r="AR14" s="36"/>
      <c r="AS14" s="36"/>
      <c r="AT14" s="36"/>
      <c r="AU14" s="35"/>
      <c r="AV14" s="13"/>
      <c r="AW14" s="13"/>
      <c r="AX14" s="14"/>
    </row>
    <row r="15" spans="1:50">
      <c r="A15" s="6" t="s">
        <v>81</v>
      </c>
      <c r="B15" s="37" t="s">
        <v>78</v>
      </c>
      <c r="C15" s="8" t="s">
        <v>82</v>
      </c>
      <c r="D15" s="9">
        <v>46287</v>
      </c>
      <c r="E15" s="9">
        <v>46291</v>
      </c>
      <c r="F15" s="10">
        <f t="shared" si="0"/>
        <v>5</v>
      </c>
      <c r="G15" s="15" t="s">
        <v>67</v>
      </c>
      <c r="H15" s="14"/>
      <c r="I15" s="14"/>
      <c r="J15" s="14"/>
      <c r="K15" s="14"/>
      <c r="L15" s="14"/>
      <c r="M15" s="13"/>
      <c r="N15" s="13"/>
      <c r="O15" s="14"/>
      <c r="P15" s="14"/>
      <c r="Q15" s="14"/>
      <c r="R15" s="14"/>
      <c r="S15" s="14"/>
      <c r="T15" s="13"/>
      <c r="U15" s="13"/>
      <c r="V15" s="14"/>
      <c r="W15" s="14"/>
      <c r="X15" s="14"/>
      <c r="Y15" s="14"/>
      <c r="Z15" s="14"/>
      <c r="AA15" s="13"/>
      <c r="AB15" s="13"/>
      <c r="AC15" s="14"/>
      <c r="AD15" s="14"/>
      <c r="AE15" s="14"/>
      <c r="AF15" s="14"/>
      <c r="AG15" s="14"/>
      <c r="AH15" s="13"/>
      <c r="AI15" s="13"/>
      <c r="AJ15" s="14"/>
      <c r="AK15" s="14"/>
      <c r="AL15" s="14"/>
      <c r="AM15" s="14"/>
      <c r="AN15" s="14"/>
      <c r="AO15" s="13"/>
      <c r="AP15" s="13"/>
      <c r="AQ15" s="14"/>
      <c r="AR15" s="35"/>
      <c r="AS15" s="36"/>
      <c r="AT15" s="36"/>
      <c r="AU15" s="36"/>
      <c r="AV15" s="35"/>
      <c r="AW15" s="13"/>
      <c r="AX15" s="14"/>
    </row>
    <row r="16" spans="1:50">
      <c r="A16" s="15" t="s">
        <v>83</v>
      </c>
      <c r="B16" s="32" t="s">
        <v>78</v>
      </c>
      <c r="C16" s="33" t="s">
        <v>84</v>
      </c>
      <c r="D16" s="18">
        <v>46293</v>
      </c>
      <c r="E16" s="18">
        <v>46293</v>
      </c>
      <c r="F16" s="19">
        <f t="shared" si="0"/>
        <v>1</v>
      </c>
      <c r="G16" s="38" t="s">
        <v>85</v>
      </c>
      <c r="H16" s="14"/>
      <c r="I16" s="14"/>
      <c r="J16" s="14"/>
      <c r="K16" s="14"/>
      <c r="L16" s="14"/>
      <c r="M16" s="13"/>
      <c r="N16" s="13"/>
      <c r="O16" s="14"/>
      <c r="P16" s="14"/>
      <c r="Q16" s="14"/>
      <c r="R16" s="14"/>
      <c r="S16" s="14"/>
      <c r="T16" s="13"/>
      <c r="U16" s="13"/>
      <c r="V16" s="14"/>
      <c r="W16" s="14"/>
      <c r="X16" s="14"/>
      <c r="Y16" s="14"/>
      <c r="Z16" s="14"/>
      <c r="AA16" s="13"/>
      <c r="AB16" s="13"/>
      <c r="AC16" s="14"/>
      <c r="AD16" s="14"/>
      <c r="AE16" s="14"/>
      <c r="AF16" s="14"/>
      <c r="AG16" s="14"/>
      <c r="AH16" s="13"/>
      <c r="AI16" s="13"/>
      <c r="AJ16" s="14"/>
      <c r="AK16" s="14"/>
      <c r="AL16" s="14"/>
      <c r="AM16" s="14"/>
      <c r="AN16" s="14"/>
      <c r="AO16" s="13"/>
      <c r="AP16" s="13"/>
      <c r="AQ16" s="14"/>
      <c r="AR16" s="14"/>
      <c r="AS16" s="14"/>
      <c r="AT16" s="14"/>
      <c r="AU16" s="14"/>
      <c r="AV16" s="13"/>
      <c r="AW16" s="13"/>
      <c r="AX16" s="35" t="s">
        <v>86</v>
      </c>
    </row>
    <row r="18" spans="1:9">
      <c r="A18" s="39" t="s">
        <v>87</v>
      </c>
    </row>
    <row r="19" spans="1:9">
      <c r="A19" s="40"/>
      <c r="B19" s="41" t="s">
        <v>88</v>
      </c>
      <c r="C19" s="42"/>
      <c r="D19" s="43"/>
      <c r="E19" s="41" t="s">
        <v>89</v>
      </c>
      <c r="F19" s="44"/>
      <c r="G19" s="41" t="s">
        <v>90</v>
      </c>
      <c r="H19" s="45"/>
      <c r="I19" s="41" t="s">
        <v>91</v>
      </c>
    </row>
  </sheetData>
  <mergeCells count="2">
    <mergeCell ref="H3:V3"/>
    <mergeCell ref="W3:A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Consumption &amp; Hosting Budget</vt:lpstr>
      <vt:lpstr>Gantt Chart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Kumrasen, Sarwen Kumar Naidu</cp:lastModifiedBy>
  <dcterms:created xsi:type="dcterms:W3CDTF">2026-08-11T05:26:43Z</dcterms:created>
  <dcterms:modified xsi:type="dcterms:W3CDTF">2026-08-12T06:05:25Z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2026-08-12T06:02:39Z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1f3f9d61-e763-4e33-b8eb-e95c97f9f2ff</vt:lpwstr>
  </property>
  <property fmtid="{D5CDD505-2E9C-101B-9397-08002B2CF9AE}" pid="7" name="MSIP_Label_defa4170-0d19-0005-0004-bc88714345d2_ActionId">
    <vt:lpwstr>8721adce-4c4e-42ef-9a04-c8e43a1038b7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